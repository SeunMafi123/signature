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628" codeName="{00000000-0000-0000-0000-0000000000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381644\Desktop\"/>
    </mc:Choice>
  </mc:AlternateContent>
  <xr:revisionPtr revIDLastSave="0" documentId="13_ncr:1_{2ED84CBB-F030-4B10-B189-7B860936AC1E}" xr6:coauthVersionLast="47" xr6:coauthVersionMax="47" xr10:uidLastSave="{00000000-0000-0000-0000-000000000000}"/>
  <bookViews>
    <workbookView xWindow="-28920" yWindow="-120" windowWidth="29040" windowHeight="15840" tabRatio="664" xr2:uid="{AA4CF086-A721-48B9-8CED-EE2F18ADFD1A}"/>
  </bookViews>
  <sheets>
    <sheet name="Instructions" sheetId="9" r:id="rId1"/>
    <sheet name="2022 Investment Allocations" sheetId="13" r:id="rId2"/>
  </sheets>
  <definedNames>
    <definedName name="_xlnm._FilterDatabase" localSheetId="1" hidden="1">'2022 Investment Allocations'!$A$2:$AL$72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75" i="13" l="1"/>
  <c r="AI75" i="13"/>
  <c r="AH75" i="13"/>
  <c r="AG75" i="13"/>
  <c r="AF75" i="13"/>
  <c r="AE75" i="13"/>
  <c r="AD75" i="13"/>
  <c r="AC75" i="13"/>
  <c r="AB75" i="13"/>
  <c r="AA75" i="13"/>
  <c r="Z75" i="13"/>
  <c r="Y75" i="13"/>
  <c r="V75" i="13"/>
  <c r="U75" i="13"/>
  <c r="T75" i="13"/>
  <c r="R75" i="13"/>
  <c r="Q75" i="13"/>
  <c r="P75" i="13"/>
  <c r="O75" i="13"/>
  <c r="N75" i="13"/>
  <c r="L75" i="13"/>
  <c r="AJ72" i="13"/>
  <c r="X72" i="13"/>
  <c r="AK72" i="13" s="1"/>
  <c r="S72" i="13"/>
  <c r="AJ71" i="13"/>
  <c r="X71" i="13"/>
  <c r="AK71" i="13" s="1"/>
  <c r="S71" i="13"/>
  <c r="M71" i="13"/>
  <c r="E71" i="13"/>
  <c r="AK70" i="13"/>
  <c r="M70" i="13" s="1"/>
  <c r="E70" i="13" s="1"/>
  <c r="D70" i="13" s="1"/>
  <c r="C70" i="13" s="1"/>
  <c r="AJ70" i="13"/>
  <c r="X70" i="13"/>
  <c r="S70" i="13"/>
  <c r="AK69" i="13"/>
  <c r="M69" i="13" s="1"/>
  <c r="E69" i="13" s="1"/>
  <c r="D69" i="13" s="1"/>
  <c r="C69" i="13" s="1"/>
  <c r="AJ69" i="13"/>
  <c r="X69" i="13"/>
  <c r="S69" i="13"/>
  <c r="AK68" i="13"/>
  <c r="M68" i="13" s="1"/>
  <c r="E68" i="13" s="1"/>
  <c r="D68" i="13" s="1"/>
  <c r="C68" i="13" s="1"/>
  <c r="AJ68" i="13"/>
  <c r="X68" i="13"/>
  <c r="S68" i="13"/>
  <c r="AK67" i="13"/>
  <c r="M67" i="13" s="1"/>
  <c r="E67" i="13" s="1"/>
  <c r="D67" i="13" s="1"/>
  <c r="C67" i="13" s="1"/>
  <c r="AJ67" i="13"/>
  <c r="X67" i="13"/>
  <c r="S67" i="13"/>
  <c r="AK66" i="13"/>
  <c r="M66" i="13" s="1"/>
  <c r="E66" i="13" s="1"/>
  <c r="D66" i="13" s="1"/>
  <c r="C66" i="13" s="1"/>
  <c r="AJ66" i="13"/>
  <c r="X66" i="13"/>
  <c r="S66" i="13"/>
  <c r="AK65" i="13"/>
  <c r="M65" i="13" s="1"/>
  <c r="E65" i="13" s="1"/>
  <c r="D65" i="13" s="1"/>
  <c r="C65" i="13" s="1"/>
  <c r="AJ65" i="13"/>
  <c r="X65" i="13"/>
  <c r="S65" i="13"/>
  <c r="AK64" i="13"/>
  <c r="M64" i="13" s="1"/>
  <c r="E64" i="13" s="1"/>
  <c r="D64" i="13" s="1"/>
  <c r="C64" i="13" s="1"/>
  <c r="AJ64" i="13"/>
  <c r="X64" i="13"/>
  <c r="S64" i="13"/>
  <c r="AK63" i="13"/>
  <c r="M63" i="13" s="1"/>
  <c r="E63" i="13" s="1"/>
  <c r="D63" i="13" s="1"/>
  <c r="C63" i="13" s="1"/>
  <c r="AJ63" i="13"/>
  <c r="X63" i="13"/>
  <c r="S63" i="13"/>
  <c r="AK62" i="13"/>
  <c r="M62" i="13" s="1"/>
  <c r="E62" i="13" s="1"/>
  <c r="D62" i="13" s="1"/>
  <c r="C62" i="13" s="1"/>
  <c r="AJ62" i="13"/>
  <c r="X62" i="13"/>
  <c r="S62" i="13"/>
  <c r="AK61" i="13"/>
  <c r="M61" i="13" s="1"/>
  <c r="E61" i="13" s="1"/>
  <c r="D61" i="13" s="1"/>
  <c r="C61" i="13" s="1"/>
  <c r="AJ61" i="13"/>
  <c r="X61" i="13"/>
  <c r="S61" i="13"/>
  <c r="AK60" i="13"/>
  <c r="M60" i="13" s="1"/>
  <c r="E60" i="13" s="1"/>
  <c r="D60" i="13" s="1"/>
  <c r="C60" i="13" s="1"/>
  <c r="AJ60" i="13"/>
  <c r="X60" i="13"/>
  <c r="S60" i="13"/>
  <c r="AK59" i="13"/>
  <c r="AJ59" i="13"/>
  <c r="X59" i="13"/>
  <c r="S59" i="13"/>
  <c r="M59" i="13"/>
  <c r="E59" i="13"/>
  <c r="AJ58" i="13"/>
  <c r="X58" i="13"/>
  <c r="AK58" i="13" s="1"/>
  <c r="S58" i="13"/>
  <c r="M58" i="13" s="1"/>
  <c r="E58" i="13" s="1"/>
  <c r="D58" i="13" s="1"/>
  <c r="C58" i="13" s="1"/>
  <c r="AJ57" i="13"/>
  <c r="X57" i="13"/>
  <c r="AK57" i="13" s="1"/>
  <c r="S57" i="13"/>
  <c r="M57" i="13" s="1"/>
  <c r="E57" i="13" s="1"/>
  <c r="D57" i="13" s="1"/>
  <c r="C57" i="13" s="1"/>
  <c r="AJ56" i="13"/>
  <c r="X56" i="13"/>
  <c r="AK56" i="13" s="1"/>
  <c r="S56" i="13"/>
  <c r="AJ55" i="13"/>
  <c r="X55" i="13"/>
  <c r="AK55" i="13" s="1"/>
  <c r="S55" i="13"/>
  <c r="M55" i="13" s="1"/>
  <c r="E55" i="13" s="1"/>
  <c r="D55" i="13" s="1"/>
  <c r="C55" i="13" s="1"/>
  <c r="AJ54" i="13"/>
  <c r="X54" i="13"/>
  <c r="AK54" i="13" s="1"/>
  <c r="S54" i="13"/>
  <c r="M54" i="13" s="1"/>
  <c r="E54" i="13" s="1"/>
  <c r="D54" i="13" s="1"/>
  <c r="C54" i="13" s="1"/>
  <c r="AJ53" i="13"/>
  <c r="X53" i="13"/>
  <c r="AK53" i="13" s="1"/>
  <c r="S53" i="13"/>
  <c r="M53" i="13" s="1"/>
  <c r="E53" i="13" s="1"/>
  <c r="D53" i="13" s="1"/>
  <c r="C53" i="13" s="1"/>
  <c r="AJ52" i="13"/>
  <c r="X52" i="13"/>
  <c r="AK52" i="13" s="1"/>
  <c r="S52" i="13"/>
  <c r="M52" i="13" s="1"/>
  <c r="E52" i="13" s="1"/>
  <c r="D52" i="13" s="1"/>
  <c r="C52" i="13" s="1"/>
  <c r="AJ51" i="13"/>
  <c r="X51" i="13"/>
  <c r="AK51" i="13" s="1"/>
  <c r="S51" i="13"/>
  <c r="AJ50" i="13"/>
  <c r="X50" i="13"/>
  <c r="AK50" i="13" s="1"/>
  <c r="S50" i="13"/>
  <c r="M50" i="13" s="1"/>
  <c r="E50" i="13" s="1"/>
  <c r="D50" i="13" s="1"/>
  <c r="C50" i="13" s="1"/>
  <c r="AJ49" i="13"/>
  <c r="X49" i="13"/>
  <c r="AK49" i="13" s="1"/>
  <c r="S49" i="13"/>
  <c r="M49" i="13" s="1"/>
  <c r="E49" i="13" s="1"/>
  <c r="D49" i="13" s="1"/>
  <c r="C49" i="13" s="1"/>
  <c r="AJ48" i="13"/>
  <c r="X48" i="13"/>
  <c r="AK48" i="13" s="1"/>
  <c r="S48" i="13"/>
  <c r="AJ47" i="13"/>
  <c r="X47" i="13"/>
  <c r="AK47" i="13" s="1"/>
  <c r="M47" i="13" s="1"/>
  <c r="E47" i="13" s="1"/>
  <c r="D47" i="13" s="1"/>
  <c r="C47" i="13" s="1"/>
  <c r="S47" i="13"/>
  <c r="AJ46" i="13"/>
  <c r="X46" i="13"/>
  <c r="AK46" i="13" s="1"/>
  <c r="M46" i="13" s="1"/>
  <c r="E46" i="13" s="1"/>
  <c r="D46" i="13" s="1"/>
  <c r="C46" i="13" s="1"/>
  <c r="S46" i="13"/>
  <c r="AJ45" i="13"/>
  <c r="X45" i="13"/>
  <c r="AK45" i="13" s="1"/>
  <c r="M45" i="13" s="1"/>
  <c r="E45" i="13" s="1"/>
  <c r="D45" i="13" s="1"/>
  <c r="C45" i="13" s="1"/>
  <c r="S45" i="13"/>
  <c r="AJ44" i="13"/>
  <c r="X44" i="13"/>
  <c r="AK44" i="13" s="1"/>
  <c r="M44" i="13"/>
  <c r="E44" i="13"/>
  <c r="AJ43" i="13"/>
  <c r="X43" i="13"/>
  <c r="AK43" i="13" s="1"/>
  <c r="M43" i="13" s="1"/>
  <c r="S43" i="13"/>
  <c r="E43" i="13"/>
  <c r="D43" i="13" s="1"/>
  <c r="C43" i="13" s="1"/>
  <c r="AJ42" i="13"/>
  <c r="X42" i="13"/>
  <c r="AK42" i="13" s="1"/>
  <c r="M42" i="13" s="1"/>
  <c r="S42" i="13"/>
  <c r="E42" i="13"/>
  <c r="D42" i="13" s="1"/>
  <c r="C42" i="13" s="1"/>
  <c r="AJ41" i="13"/>
  <c r="X41" i="13"/>
  <c r="AK41" i="13" s="1"/>
  <c r="M41" i="13" s="1"/>
  <c r="S41" i="13"/>
  <c r="E41" i="13"/>
  <c r="D41" i="13" s="1"/>
  <c r="C41" i="13" s="1"/>
  <c r="AJ40" i="13"/>
  <c r="X40" i="13"/>
  <c r="AK40" i="13" s="1"/>
  <c r="M40" i="13" s="1"/>
  <c r="S40" i="13"/>
  <c r="E40" i="13"/>
  <c r="D40" i="13" s="1"/>
  <c r="C40" i="13" s="1"/>
  <c r="AJ39" i="13"/>
  <c r="X39" i="13"/>
  <c r="AK39" i="13" s="1"/>
  <c r="M39" i="13" s="1"/>
  <c r="S39" i="13"/>
  <c r="E39" i="13"/>
  <c r="D39" i="13" s="1"/>
  <c r="C39" i="13" s="1"/>
  <c r="AJ38" i="13"/>
  <c r="X38" i="13"/>
  <c r="AK38" i="13" s="1"/>
  <c r="M38" i="13" s="1"/>
  <c r="S38" i="13"/>
  <c r="E38" i="13"/>
  <c r="D38" i="13" s="1"/>
  <c r="C38" i="13" s="1"/>
  <c r="AJ37" i="13"/>
  <c r="X37" i="13"/>
  <c r="AK37" i="13" s="1"/>
  <c r="S37" i="13"/>
  <c r="M37" i="13"/>
  <c r="E37" i="13"/>
  <c r="AJ36" i="13"/>
  <c r="X36" i="13"/>
  <c r="AK36" i="13" s="1"/>
  <c r="S36" i="13"/>
  <c r="M36" i="13"/>
  <c r="E36" i="13" s="1"/>
  <c r="D36" i="13" s="1"/>
  <c r="C36" i="13" s="1"/>
  <c r="AJ35" i="13"/>
  <c r="X35" i="13"/>
  <c r="AK35" i="13" s="1"/>
  <c r="S35" i="13"/>
  <c r="M35" i="13"/>
  <c r="E35" i="13" s="1"/>
  <c r="AJ34" i="13"/>
  <c r="AK34" i="13" s="1"/>
  <c r="X34" i="13"/>
  <c r="S34" i="13"/>
  <c r="M34" i="13" s="1"/>
  <c r="E34" i="13" s="1"/>
  <c r="D34" i="13" s="1"/>
  <c r="C34" i="13" s="1"/>
  <c r="AJ33" i="13"/>
  <c r="AK33" i="13" s="1"/>
  <c r="X33" i="13"/>
  <c r="S33" i="13"/>
  <c r="M33" i="13" s="1"/>
  <c r="E33" i="13" s="1"/>
  <c r="D33" i="13"/>
  <c r="C33" i="13" s="1"/>
  <c r="AJ32" i="13"/>
  <c r="AK32" i="13" s="1"/>
  <c r="X32" i="13"/>
  <c r="S32" i="13"/>
  <c r="M32" i="13" s="1"/>
  <c r="E32" i="13" s="1"/>
  <c r="D32" i="13" s="1"/>
  <c r="C32" i="13" s="1"/>
  <c r="AJ31" i="13"/>
  <c r="AK31" i="13" s="1"/>
  <c r="X31" i="13"/>
  <c r="S31" i="13"/>
  <c r="M31" i="13" s="1"/>
  <c r="E31" i="13" s="1"/>
  <c r="D31" i="13"/>
  <c r="C31" i="13" s="1"/>
  <c r="AJ30" i="13"/>
  <c r="AK30" i="13" s="1"/>
  <c r="X30" i="13"/>
  <c r="S30" i="13"/>
  <c r="M30" i="13" s="1"/>
  <c r="E30" i="13" s="1"/>
  <c r="D30" i="13" s="1"/>
  <c r="C30" i="13" s="1"/>
  <c r="AJ29" i="13"/>
  <c r="AK29" i="13" s="1"/>
  <c r="X29" i="13"/>
  <c r="S29" i="13"/>
  <c r="M29" i="13" s="1"/>
  <c r="E29" i="13" s="1"/>
  <c r="D29" i="13"/>
  <c r="C29" i="13" s="1"/>
  <c r="AJ28" i="13"/>
  <c r="AK28" i="13" s="1"/>
  <c r="X28" i="13"/>
  <c r="S28" i="13"/>
  <c r="M28" i="13" s="1"/>
  <c r="E28" i="13" s="1"/>
  <c r="D28" i="13" s="1"/>
  <c r="C28" i="13" s="1"/>
  <c r="AJ27" i="13"/>
  <c r="AK27" i="13" s="1"/>
  <c r="X27" i="13"/>
  <c r="S27" i="13"/>
  <c r="M27" i="13" s="1"/>
  <c r="E27" i="13" s="1"/>
  <c r="D27" i="13"/>
  <c r="C27" i="13" s="1"/>
  <c r="AJ26" i="13"/>
  <c r="AK26" i="13" s="1"/>
  <c r="X26" i="13"/>
  <c r="S26" i="13"/>
  <c r="M26" i="13" s="1"/>
  <c r="E26" i="13" s="1"/>
  <c r="D26" i="13" s="1"/>
  <c r="C26" i="13" s="1"/>
  <c r="AJ25" i="13"/>
  <c r="AK25" i="13" s="1"/>
  <c r="X25" i="13"/>
  <c r="S25" i="13"/>
  <c r="M25" i="13" s="1"/>
  <c r="E25" i="13" s="1"/>
  <c r="D25" i="13"/>
  <c r="C25" i="13" s="1"/>
  <c r="AJ24" i="13"/>
  <c r="AK24" i="13" s="1"/>
  <c r="X24" i="13"/>
  <c r="S24" i="13"/>
  <c r="M24" i="13" s="1"/>
  <c r="E24" i="13" s="1"/>
  <c r="D24" i="13" s="1"/>
  <c r="C24" i="13" s="1"/>
  <c r="AJ23" i="13"/>
  <c r="AK23" i="13" s="1"/>
  <c r="X23" i="13"/>
  <c r="S23" i="13"/>
  <c r="M23" i="13" s="1"/>
  <c r="E23" i="13" s="1"/>
  <c r="D23" i="13"/>
  <c r="C23" i="13" s="1"/>
  <c r="AJ22" i="13"/>
  <c r="AK22" i="13" s="1"/>
  <c r="X22" i="13"/>
  <c r="S22" i="13"/>
  <c r="M22" i="13" s="1"/>
  <c r="E22" i="13" s="1"/>
  <c r="D22" i="13" s="1"/>
  <c r="C22" i="13" s="1"/>
  <c r="AJ21" i="13"/>
  <c r="AK21" i="13" s="1"/>
  <c r="X21" i="13"/>
  <c r="S21" i="13"/>
  <c r="AJ20" i="13"/>
  <c r="AK20" i="13" s="1"/>
  <c r="X20" i="13"/>
  <c r="S20" i="13"/>
  <c r="AJ19" i="13"/>
  <c r="AK19" i="13" s="1"/>
  <c r="X19" i="13"/>
  <c r="S19" i="13"/>
  <c r="AJ18" i="13"/>
  <c r="AK18" i="13" s="1"/>
  <c r="M18" i="13" s="1"/>
  <c r="E18" i="13" s="1"/>
  <c r="D18" i="13" s="1"/>
  <c r="C18" i="13" s="1"/>
  <c r="X18" i="13"/>
  <c r="S18" i="13"/>
  <c r="AJ17" i="13"/>
  <c r="AK17" i="13" s="1"/>
  <c r="M17" i="13" s="1"/>
  <c r="E17" i="13" s="1"/>
  <c r="D17" i="13" s="1"/>
  <c r="C17" i="13" s="1"/>
  <c r="X17" i="13"/>
  <c r="S17" i="13"/>
  <c r="AJ16" i="13"/>
  <c r="AK16" i="13" s="1"/>
  <c r="M16" i="13" s="1"/>
  <c r="E16" i="13" s="1"/>
  <c r="D16" i="13" s="1"/>
  <c r="C16" i="13" s="1"/>
  <c r="X16" i="13"/>
  <c r="S16" i="13"/>
  <c r="AK15" i="13"/>
  <c r="M15" i="13" s="1"/>
  <c r="E15" i="13" s="1"/>
  <c r="D15" i="13" s="1"/>
  <c r="C15" i="13" s="1"/>
  <c r="AJ15" i="13"/>
  <c r="X15" i="13"/>
  <c r="S15" i="13"/>
  <c r="AJ14" i="13"/>
  <c r="AK14" i="13" s="1"/>
  <c r="M14" i="13" s="1"/>
  <c r="E14" i="13" s="1"/>
  <c r="D14" i="13" s="1"/>
  <c r="C14" i="13" s="1"/>
  <c r="X14" i="13"/>
  <c r="S14" i="13"/>
  <c r="AJ13" i="13"/>
  <c r="AK13" i="13" s="1"/>
  <c r="M13" i="13" s="1"/>
  <c r="E13" i="13" s="1"/>
  <c r="D13" i="13" s="1"/>
  <c r="C13" i="13" s="1"/>
  <c r="X13" i="13"/>
  <c r="S13" i="13"/>
  <c r="AJ12" i="13"/>
  <c r="AK12" i="13" s="1"/>
  <c r="M12" i="13" s="1"/>
  <c r="E12" i="13" s="1"/>
  <c r="D12" i="13" s="1"/>
  <c r="C12" i="13" s="1"/>
  <c r="X12" i="13"/>
  <c r="S12" i="13"/>
  <c r="AJ11" i="13"/>
  <c r="AK11" i="13" s="1"/>
  <c r="M11" i="13" s="1"/>
  <c r="D11" i="13"/>
  <c r="C11" i="13"/>
  <c r="AJ10" i="13"/>
  <c r="AK10" i="13" s="1"/>
  <c r="M10" i="13" s="1"/>
  <c r="E10" i="13" s="1"/>
  <c r="D10" i="13" s="1"/>
  <c r="C10" i="13" s="1"/>
  <c r="X10" i="13"/>
  <c r="S10" i="13"/>
  <c r="AJ9" i="13"/>
  <c r="AK9" i="13" s="1"/>
  <c r="X9" i="13"/>
  <c r="S9" i="13"/>
  <c r="M9" i="13"/>
  <c r="E9" i="13" s="1"/>
  <c r="D9" i="13" s="1"/>
  <c r="C9" i="13" s="1"/>
  <c r="AJ8" i="13"/>
  <c r="AK8" i="13" s="1"/>
  <c r="M8" i="13" s="1"/>
  <c r="E8" i="13" s="1"/>
  <c r="D8" i="13" s="1"/>
  <c r="C8" i="13" s="1"/>
  <c r="X8" i="13"/>
  <c r="S8" i="13"/>
  <c r="AJ7" i="13"/>
  <c r="AK7" i="13" s="1"/>
  <c r="X7" i="13"/>
  <c r="S7" i="13"/>
  <c r="M7" i="13"/>
  <c r="E7" i="13" s="1"/>
  <c r="D7" i="13" s="1"/>
  <c r="C7" i="13" s="1"/>
  <c r="AJ6" i="13"/>
  <c r="AK6" i="13" s="1"/>
  <c r="M6" i="13" s="1"/>
  <c r="E6" i="13" s="1"/>
  <c r="D6" i="13" s="1"/>
  <c r="C6" i="13" s="1"/>
  <c r="X6" i="13"/>
  <c r="S6" i="13"/>
  <c r="AJ5" i="13"/>
  <c r="AK5" i="13" s="1"/>
  <c r="X5" i="13"/>
  <c r="S5" i="13"/>
  <c r="M5" i="13" s="1"/>
  <c r="E5" i="13" s="1"/>
  <c r="D5" i="13" s="1"/>
  <c r="C5" i="13" s="1"/>
  <c r="AJ4" i="13"/>
  <c r="AK4" i="13" s="1"/>
  <c r="M4" i="13" s="1"/>
  <c r="E4" i="13" s="1"/>
  <c r="D4" i="13" s="1"/>
  <c r="C4" i="13" s="1"/>
  <c r="X4" i="13"/>
  <c r="S4" i="13"/>
  <c r="AJ3" i="13"/>
  <c r="X3" i="13"/>
  <c r="S3" i="13"/>
  <c r="S75" i="13" l="1"/>
  <c r="M21" i="13"/>
  <c r="E21" i="13" s="1"/>
  <c r="D21" i="13" s="1"/>
  <c r="C21" i="13" s="1"/>
  <c r="M20" i="13"/>
  <c r="E20" i="13" s="1"/>
  <c r="D20" i="13" s="1"/>
  <c r="C20" i="13" s="1"/>
  <c r="M48" i="13"/>
  <c r="E48" i="13" s="1"/>
  <c r="D48" i="13" s="1"/>
  <c r="C48" i="13" s="1"/>
  <c r="M56" i="13"/>
  <c r="E56" i="13" s="1"/>
  <c r="D56" i="13" s="1"/>
  <c r="C56" i="13" s="1"/>
  <c r="M19" i="13"/>
  <c r="E19" i="13" s="1"/>
  <c r="D19" i="13" s="1"/>
  <c r="C19" i="13" s="1"/>
  <c r="X75" i="13"/>
  <c r="AJ75" i="13"/>
  <c r="AK3" i="13"/>
  <c r="M51" i="13"/>
  <c r="E51" i="13" s="1"/>
  <c r="D51" i="13" s="1"/>
  <c r="C51" i="13" s="1"/>
  <c r="M72" i="13"/>
  <c r="E72" i="13" s="1"/>
  <c r="D72" i="13" s="1"/>
  <c r="C72" i="13" s="1"/>
  <c r="AK75" i="13" l="1"/>
  <c r="M3" i="13"/>
  <c r="E3" i="13" l="1"/>
  <c r="D3" i="13" s="1"/>
  <c r="C3" i="13" s="1"/>
  <c r="M75" i="13"/>
</calcChain>
</file>

<file path=xl/sharedStrings.xml><?xml version="1.0" encoding="utf-8"?>
<sst xmlns="http://schemas.openxmlformats.org/spreadsheetml/2006/main" count="635" uniqueCount="209">
  <si>
    <t>Instructions</t>
  </si>
  <si>
    <t>1. Click "Enable Content"  on the yellow ribbon in this workbook.</t>
  </si>
  <si>
    <t>2. Review current project/investment dollars and owners on "2022 Investment Allocations":</t>
  </si>
  <si>
    <t>a. Go to "2022 Investment Allocations" tab</t>
  </si>
  <si>
    <t>b. Filter on your name in IT Investment Owner (Kidd - 1) (Column H)</t>
  </si>
  <si>
    <t>c. Review Allocation Variance (Column E) to see allocations made in comparison to IT Cash Budget (Column L)</t>
  </si>
  <si>
    <t>d. Review allocations by Non-Labor &amp; Labor Domains (Columns N-AK) &amp; any allocations in Placeholders (Column AL) and revise as needed</t>
  </si>
  <si>
    <t>e. Review/ Update IT Project Owner (Column I)</t>
  </si>
  <si>
    <t>3. To make revisions:</t>
  </si>
  <si>
    <t xml:space="preserve">b. Only change content in yellow cells </t>
  </si>
  <si>
    <t>c. Review/Update the dollars split of the investment across several categories:</t>
  </si>
  <si>
    <t>i. Non-Labor (HW/SW, KBC, APM, DMT)  (Columns N-R)</t>
  </si>
  <si>
    <t>ii. Enterprise Products (Kathy Kadziolka) Labor (Column T)</t>
  </si>
  <si>
    <t>iii. Architecture Labor (Column U)</t>
  </si>
  <si>
    <t>iv. Other Non-HCB IT Delivery Labor (Security, Corporate, PBM, Infrastructure, etc.) (Column V)</t>
  </si>
  <si>
    <t>v. HCB IT Delivery Labor (Columns Y-AI)</t>
  </si>
  <si>
    <t>1. There are 11 different groups that we broke HCB IT Delivery labor into.</t>
  </si>
  <si>
    <t>d. Columns N-R, T-V, and Y-AI need to sum to within 2% of IT Cash Budget (Column L) and will be automatically checked by Column C.</t>
  </si>
  <si>
    <t>i. Total IT Cash Allocations (Column M) may be used to reference inputted allocations (Non-Labor &amp; Labor).</t>
  </si>
  <si>
    <r>
      <rPr>
        <b/>
        <sz val="10"/>
        <color theme="1"/>
        <rFont val="Calibri"/>
        <family val="2"/>
        <scheme val="minor"/>
      </rPr>
      <t>Reminder:</t>
    </r>
    <r>
      <rPr>
        <sz val="10"/>
        <color theme="1"/>
        <rFont val="Calibri"/>
        <family val="2"/>
        <scheme val="minor"/>
      </rPr>
      <t xml:space="preserve"> Labor should be split out based on the resources actually doing the work, not by who owns the investment and program oversight.</t>
    </r>
  </si>
  <si>
    <t>Please email Alex Sawa or Krupa Patel with questions.</t>
  </si>
  <si>
    <t>Calculated - Do Not Adjust</t>
  </si>
  <si>
    <t>Non-Labor</t>
  </si>
  <si>
    <t>Do Not Adjust</t>
  </si>
  <si>
    <t xml:space="preserve">Non-HCB Labor </t>
  </si>
  <si>
    <t xml:space="preserve">HCB IT Labor </t>
  </si>
  <si>
    <t>Placeholder</t>
  </si>
  <si>
    <t>Investment Category</t>
  </si>
  <si>
    <t>Investment/Project Name</t>
  </si>
  <si>
    <t>Check</t>
  </si>
  <si>
    <t>Percentage Allocation</t>
  </si>
  <si>
    <t>Allocation Variance</t>
  </si>
  <si>
    <t>Segment</t>
  </si>
  <si>
    <t>Business Owner</t>
  </si>
  <si>
    <t>IT Investment Owner (Kidd - 1)</t>
  </si>
  <si>
    <t>IT Project Owner (Kidd - 2)</t>
  </si>
  <si>
    <t>Capital Portfolio (On Slomski's Capital List)</t>
  </si>
  <si>
    <t>Core</t>
  </si>
  <si>
    <t>2022 IT Cash Budget</t>
  </si>
  <si>
    <t>Total IT Cash Allocations</t>
  </si>
  <si>
    <t>Infra HW/SW/KBC Carryover</t>
  </si>
  <si>
    <t>Infra HW/SW/KBC New</t>
  </si>
  <si>
    <t>Vendor KBC</t>
  </si>
  <si>
    <t>APM</t>
  </si>
  <si>
    <t>DMT</t>
  </si>
  <si>
    <t>Non-Labor Total</t>
  </si>
  <si>
    <t>Enterprise Products Labor (Kadziolka)</t>
  </si>
  <si>
    <t>Architecture Labor</t>
  </si>
  <si>
    <t>Other Non-HCB IT Labor (Other)</t>
  </si>
  <si>
    <t>If Other, please list who</t>
  </si>
  <si>
    <t>Non-HCB IT Delivery Labor Total</t>
  </si>
  <si>
    <t>AEI Labor</t>
  </si>
  <si>
    <r>
      <t>Richardson Labor</t>
    </r>
    <r>
      <rPr>
        <sz val="10"/>
        <color theme="1"/>
        <rFont val="Calibri"/>
        <family val="2"/>
        <scheme val="minor"/>
      </rPr>
      <t xml:space="preserve"> (Pln, SRQ, CPQ, Brkr, Comm, Mbr, Bll, Chnl)</t>
    </r>
  </si>
  <si>
    <r>
      <t xml:space="preserve">Cronin Labor </t>
    </r>
    <r>
      <rPr>
        <sz val="10"/>
        <color theme="1"/>
        <rFont val="Calibri"/>
        <family val="2"/>
        <scheme val="minor"/>
      </rPr>
      <t>(Claim, Network, Provider)</t>
    </r>
  </si>
  <si>
    <r>
      <t>Beall-Molinaro Labor</t>
    </r>
    <r>
      <rPr>
        <sz val="10"/>
        <rFont val="Calibri"/>
        <family val="2"/>
        <scheme val="minor"/>
      </rPr>
      <t xml:space="preserve"> (NextGen, Core MCR &amp; IVL)</t>
    </r>
  </si>
  <si>
    <r>
      <t xml:space="preserve">Krause Labor </t>
    </r>
    <r>
      <rPr>
        <sz val="10"/>
        <color theme="1"/>
        <rFont val="Calibri"/>
        <family val="2"/>
        <scheme val="minor"/>
      </rPr>
      <t>(Medicaid)</t>
    </r>
  </si>
  <si>
    <r>
      <t xml:space="preserve">Core Waller Labor </t>
    </r>
    <r>
      <rPr>
        <sz val="10"/>
        <color theme="1"/>
        <rFont val="Calibri"/>
        <family val="2"/>
        <scheme val="minor"/>
      </rPr>
      <t>(F&amp;S, S&amp;M, Corr, EDI, Rx)</t>
    </r>
  </si>
  <si>
    <r>
      <t>Waller NextGen Labor</t>
    </r>
    <r>
      <rPr>
        <sz val="10"/>
        <color theme="1"/>
        <rFont val="Calibri"/>
        <family val="2"/>
        <scheme val="minor"/>
      </rPr>
      <t xml:space="preserve"> (GPS)</t>
    </r>
  </si>
  <si>
    <r>
      <t xml:space="preserve">Other Labor - Waller </t>
    </r>
    <r>
      <rPr>
        <sz val="10"/>
        <color theme="1"/>
        <rFont val="Calibri"/>
        <family val="2"/>
        <scheme val="minor"/>
      </rPr>
      <t>(Non-Core, Non-GPS)</t>
    </r>
  </si>
  <si>
    <r>
      <t>Herman Labor</t>
    </r>
    <r>
      <rPr>
        <sz val="10"/>
        <color theme="1"/>
        <rFont val="Calibri"/>
        <family val="2"/>
        <scheme val="minor"/>
      </rPr>
      <t xml:space="preserve"> (Meritain, PayFlex, Specialty, Voluntary, Wholesale)</t>
    </r>
  </si>
  <si>
    <r>
      <t xml:space="preserve">Herman Labor </t>
    </r>
    <r>
      <rPr>
        <sz val="10"/>
        <color theme="1"/>
        <rFont val="Calibri"/>
        <family val="2"/>
        <scheme val="minor"/>
      </rPr>
      <t>(Interoperability)</t>
    </r>
  </si>
  <si>
    <r>
      <t xml:space="preserve">Bhura Labor </t>
    </r>
    <r>
      <rPr>
        <sz val="10"/>
        <color theme="1"/>
        <rFont val="Calibri"/>
        <family val="2"/>
        <scheme val="minor"/>
      </rPr>
      <t>(Digitalization)</t>
    </r>
  </si>
  <si>
    <t>HCB IT Delivery Labor Total</t>
  </si>
  <si>
    <t>Labor Total</t>
  </si>
  <si>
    <t>ACT II</t>
  </si>
  <si>
    <t>ACT II - UM Operations Transformation</t>
  </si>
  <si>
    <t>N/A</t>
  </si>
  <si>
    <t>Richardson</t>
  </si>
  <si>
    <t>Y</t>
  </si>
  <si>
    <t>Infrastructure - Mukundan</t>
  </si>
  <si>
    <t>ACT II - Other</t>
  </si>
  <si>
    <t>Aetna Funding Advantage (AFA)</t>
  </si>
  <si>
    <t>Small Group AFA</t>
  </si>
  <si>
    <t>Commercial</t>
  </si>
  <si>
    <t>Miranda</t>
  </si>
  <si>
    <t>Aetna Insurance - Medicaid</t>
  </si>
  <si>
    <t>Medicaid NextGen</t>
  </si>
  <si>
    <t>Medicaid</t>
  </si>
  <si>
    <t>Munson</t>
  </si>
  <si>
    <t>Krause</t>
  </si>
  <si>
    <t>N</t>
  </si>
  <si>
    <t>Continuous Improvement (Carryover Projects)</t>
  </si>
  <si>
    <t>HEDIS Medicaid - Quality Engine</t>
  </si>
  <si>
    <t>Medicaid Strategy</t>
  </si>
  <si>
    <t>ABH to AEM Replatform - 2022</t>
  </si>
  <si>
    <t xml:space="preserve">Aetna Insurance - Medicaid </t>
  </si>
  <si>
    <t>Aetna Insurance - Medicaid Non-Labor</t>
  </si>
  <si>
    <t>Aetna Insurance - Meritain</t>
  </si>
  <si>
    <t>TPA&amp;PS: Baseline (Meritain)</t>
  </si>
  <si>
    <t>Herman</t>
  </si>
  <si>
    <t>Specialty</t>
  </si>
  <si>
    <t>Aetna Insurance - Payflex</t>
  </si>
  <si>
    <t>Payflex RTB</t>
  </si>
  <si>
    <t>Payflex</t>
  </si>
  <si>
    <t>DiSimone</t>
  </si>
  <si>
    <t>AITD Initiatives</t>
  </si>
  <si>
    <t>Intelligent Platform</t>
  </si>
  <si>
    <t>AIS</t>
  </si>
  <si>
    <t>Kidd</t>
  </si>
  <si>
    <t>Waller</t>
  </si>
  <si>
    <t>Nicastro</t>
  </si>
  <si>
    <t>Infrastructure - Mukundan; Corporate - Hawkins</t>
  </si>
  <si>
    <t>HCB IT Initiatives - Global Security (GS)</t>
  </si>
  <si>
    <t>HCB IT Initiatives - IT - Technical Currency/Scalability</t>
  </si>
  <si>
    <t>HCB IT Initiatives - Kafka Implementation &amp; API Management Platform Expansion</t>
  </si>
  <si>
    <t>HCB IT Initiatives - National Council for Prescription Drug Porgrams (NCPDP)</t>
  </si>
  <si>
    <t>Business Service Requests</t>
  </si>
  <si>
    <t>BSR Small Enhancements Placeholder</t>
  </si>
  <si>
    <t>Enterprise</t>
  </si>
  <si>
    <t>Leadership</t>
  </si>
  <si>
    <t>Sweatland</t>
  </si>
  <si>
    <t>Corporate - Hawkins</t>
  </si>
  <si>
    <t>Clinical Services</t>
  </si>
  <si>
    <t>Clinical Platform</t>
  </si>
  <si>
    <t>CESI</t>
  </si>
  <si>
    <t>Burke</t>
  </si>
  <si>
    <t>Kadziolka</t>
  </si>
  <si>
    <t>Buckley</t>
  </si>
  <si>
    <t>Clinical SAIs</t>
  </si>
  <si>
    <t>Commercial Business and Markets</t>
  </si>
  <si>
    <t>New Product Dev- Plan Design</t>
  </si>
  <si>
    <t>Customer Commitments</t>
  </si>
  <si>
    <t>Commercial Integrated Value (PSE)</t>
  </si>
  <si>
    <t>BenefitFocus Retirement (SGEP)</t>
  </si>
  <si>
    <t>Commercial Compliance</t>
  </si>
  <si>
    <t>RRB Regulatory Review Board - Commercial Compliance</t>
  </si>
  <si>
    <t>Digitalization</t>
  </si>
  <si>
    <t>Ghent</t>
  </si>
  <si>
    <t>Bhura</t>
  </si>
  <si>
    <t>Infrastructure - Mukundan; PBM - Kodali</t>
  </si>
  <si>
    <t>Enterprise Support Processes</t>
  </si>
  <si>
    <t>HCB IT Initiatives (Block Funding Request) - Executive Insights Platform</t>
  </si>
  <si>
    <t>Infrastructure - Mukundan; Corporate - Hawkins; PBM - Kodali</t>
  </si>
  <si>
    <t>Enterprise Contract Obligation Management (ECOM)</t>
  </si>
  <si>
    <t>TBD</t>
  </si>
  <si>
    <t>Fed 036 No Surprises Act</t>
  </si>
  <si>
    <t>No Surprise Act</t>
  </si>
  <si>
    <t>HCB Enterprise Data</t>
  </si>
  <si>
    <t>HCB IT Initiatives (Block Funding Request) - Enterprise Data Enrichment (ERE)</t>
  </si>
  <si>
    <t>HEDIS Digital Roadmap</t>
  </si>
  <si>
    <t>Medicaid Claim EDW</t>
  </si>
  <si>
    <t>Data Analytics</t>
  </si>
  <si>
    <t>Keshavarz</t>
  </si>
  <si>
    <t>Individual Business</t>
  </si>
  <si>
    <t>IVL Re-Entry</t>
  </si>
  <si>
    <t>Beall-Molinaro</t>
  </si>
  <si>
    <t>Corporate - Hawkins; DSO - Jeevanjee</t>
  </si>
  <si>
    <t>Individual Business Placeholder</t>
  </si>
  <si>
    <t>Please Allocate to Domains</t>
  </si>
  <si>
    <t>Interoperability</t>
  </si>
  <si>
    <t>PBM - Kodali</t>
  </si>
  <si>
    <t>Interoperability Placeholder</t>
  </si>
  <si>
    <t>Joint Ventures</t>
  </si>
  <si>
    <t>RRB Regulatory Review Board - Medicaid</t>
  </si>
  <si>
    <t>Medicare Compliance</t>
  </si>
  <si>
    <t>RRB Regulatory Review Board - Medicare Compliance</t>
  </si>
  <si>
    <t>Medicare NextGen Platform</t>
  </si>
  <si>
    <t>Medicare NextGen (MNG)</t>
  </si>
  <si>
    <t>Medicare</t>
  </si>
  <si>
    <t>Ciano</t>
  </si>
  <si>
    <t>Czech</t>
  </si>
  <si>
    <t>Medicare SilverScript Enrollment to NextGen</t>
  </si>
  <si>
    <t>Medicare NextGen (Duals)</t>
  </si>
  <si>
    <t>Medicare NextGen Platform Placeholder</t>
  </si>
  <si>
    <t>Medicare Non-Regulatory</t>
  </si>
  <si>
    <t>Medicare Growth Initiatives (Duals)</t>
  </si>
  <si>
    <t>Corporate - Hawkins; PBM - Kodali</t>
  </si>
  <si>
    <t>Shop-Buy-Enroll (SBE) &amp; Telesales</t>
  </si>
  <si>
    <t>EPIC Payor Platform Implementation (Revenue Integrity/HEDIS)</t>
  </si>
  <si>
    <t>Group FI-SI MAPD</t>
  </si>
  <si>
    <t>OTC Fortification/One Card that Rules Them All</t>
  </si>
  <si>
    <t>Multicultural Infrastructure for DSNP</t>
  </si>
  <si>
    <t>Medicare Supplement - Core Platform</t>
  </si>
  <si>
    <t>Medicare Product Innovation and SSBCI</t>
  </si>
  <si>
    <t>DSNP Integrated Service Model</t>
  </si>
  <si>
    <t>Medicare Network Strategy Optimization - Provider Enablement</t>
  </si>
  <si>
    <t>Validation Capability</t>
  </si>
  <si>
    <t>VBC Supp &amp; Reporting via Datalink</t>
  </si>
  <si>
    <t>Enable New Revenue Streams</t>
  </si>
  <si>
    <t>MedSupp Digitalization</t>
  </si>
  <si>
    <t>Medicare Non-Regulatory Placeholder</t>
  </si>
  <si>
    <t>Network &amp; Provider</t>
  </si>
  <si>
    <t>Bundles / "Episodes of Care"</t>
  </si>
  <si>
    <t>Network</t>
  </si>
  <si>
    <t>Meoli</t>
  </si>
  <si>
    <t>Cronin</t>
  </si>
  <si>
    <t>Quoting &amp; Rating</t>
  </si>
  <si>
    <t>Quoting &amp; Rating (SFDC) SalesForce Ongoing Support</t>
  </si>
  <si>
    <t>Scorable Action Items (SAI)</t>
  </si>
  <si>
    <t>Scoreable Action Items (SAIs)</t>
  </si>
  <si>
    <t>Goddard</t>
  </si>
  <si>
    <t>Service Operations</t>
  </si>
  <si>
    <t>Guided Personal Service (GPS)</t>
  </si>
  <si>
    <t>Service Ops</t>
  </si>
  <si>
    <t>Schulz</t>
  </si>
  <si>
    <t>Munukoti</t>
  </si>
  <si>
    <t>EDI Attachments</t>
  </si>
  <si>
    <t>Uricchio</t>
  </si>
  <si>
    <t>Voluntary System Modernization</t>
  </si>
  <si>
    <t>Dental &amp; Vision Baseline (Small Group)</t>
  </si>
  <si>
    <t>Transformation</t>
  </si>
  <si>
    <t>Aetna Next Best Action</t>
  </si>
  <si>
    <t>Payment Integrity</t>
  </si>
  <si>
    <t>Attain (HCB)</t>
  </si>
  <si>
    <t>(blank)</t>
  </si>
  <si>
    <t>CM Optimization</t>
  </si>
  <si>
    <t>Transformation - HCB Placeholder</t>
  </si>
  <si>
    <t>Transparency</t>
  </si>
  <si>
    <t>Infrastructure - Mukundan; Security - McMahon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</si>
</sst>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.0,,;\(#,##0.0,,\)"/>
    <numFmt numFmtId="165" formatCode="0.00000000000000%"/>
    <numFmt numFmtId="166" formatCode="_(&quot;$&quot;* #,##0_);_(&quot;$&quot;* \(#,##0\);_(&quot;$&quot;* &quot;-&quot;??_);_(@_)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0C0F2"/>
        <bgColor indexed="64"/>
      </patternFill>
    </fill>
    <fill>
      <patternFill patternType="solid">
        <fgColor rgb="FF541876"/>
        <bgColor indexed="64"/>
      </patternFill>
    </fill>
    <fill>
      <patternFill patternType="solid">
        <fgColor rgb="FFFFF8E5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center"/>
    </xf>
    <xf numFmtId="9" fontId="0" fillId="0" borderId="0" xfId="3" applyFont="1"/>
    <xf numFmtId="164" fontId="7" fillId="0" borderId="0" xfId="1" applyNumberFormat="1" applyFont="1" applyFill="1" applyBorder="1" applyAlignment="1">
      <alignment horizontal="left"/>
    </xf>
    <xf numFmtId="8" fontId="0" fillId="0" borderId="0" xfId="0" applyNumberFormat="1"/>
    <xf numFmtId="0" fontId="3" fillId="9" borderId="0" xfId="0" applyFont="1" applyFill="1" applyAlignment="1">
      <alignment horizontal="center" vertical="center" wrapText="1"/>
    </xf>
    <xf numFmtId="44" fontId="0" fillId="0" borderId="0" xfId="0" applyNumberFormat="1"/>
    <xf numFmtId="9" fontId="0" fillId="0" borderId="0" xfId="0" applyNumberFormat="1"/>
    <xf numFmtId="165" fontId="0" fillId="0" borderId="0" xfId="0" applyNumberFormat="1"/>
    <xf numFmtId="0" fontId="10" fillId="0" borderId="0" xfId="0" applyFont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166" fontId="0" fillId="0" borderId="0" xfId="0" applyNumberFormat="1"/>
    <xf numFmtId="166" fontId="3" fillId="0" borderId="1" xfId="2" applyNumberFormat="1" applyFont="1" applyBorder="1"/>
    <xf numFmtId="0" fontId="11" fillId="0" borderId="0" xfId="0" applyFont="1" applyAlignment="1">
      <alignment horizontal="center" vertical="center"/>
    </xf>
    <xf numFmtId="166" fontId="2" fillId="0" borderId="0" xfId="2" applyNumberFormat="1" applyFont="1" applyFill="1" applyBorder="1"/>
    <xf numFmtId="10" fontId="7" fillId="0" borderId="0" xfId="3" applyNumberFormat="1" applyFont="1" applyFill="1" applyBorder="1" applyAlignment="1">
      <alignment horizontal="left"/>
    </xf>
    <xf numFmtId="164" fontId="9" fillId="0" borderId="0" xfId="1" applyNumberFormat="1" applyFont="1" applyFill="1" applyBorder="1" applyAlignment="1">
      <alignment horizontal="left"/>
    </xf>
    <xf numFmtId="166" fontId="2" fillId="12" borderId="0" xfId="2" quotePrefix="1" applyNumberFormat="1" applyFont="1" applyFill="1" applyBorder="1"/>
    <xf numFmtId="166" fontId="2" fillId="12" borderId="0" xfId="2" applyNumberFormat="1" applyFont="1" applyFill="1" applyBorder="1"/>
    <xf numFmtId="0" fontId="3" fillId="3" borderId="0" xfId="0" applyFont="1" applyFill="1" applyAlignment="1">
      <alignment horizontal="center" vertical="center" wrapText="1"/>
    </xf>
    <xf numFmtId="0" fontId="5" fillId="3" borderId="0" xfId="0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5" fillId="8" borderId="0" xfId="0" applyFont="1" applyFill="1" applyAlignment="1">
      <alignment horizontal="center" vertical="center" wrapText="1"/>
    </xf>
    <xf numFmtId="0" fontId="5" fillId="10" borderId="0" xfId="0" applyFont="1" applyFill="1" applyAlignment="1">
      <alignment horizontal="center" vertical="center" wrapText="1"/>
    </xf>
    <xf numFmtId="0" fontId="8" fillId="11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0" fontId="2" fillId="12" borderId="0" xfId="0" applyFont="1" applyFill="1"/>
    <xf numFmtId="0" fontId="2" fillId="0" borderId="0" xfId="0" applyFont="1" applyAlignment="1">
      <alignment horizontal="center"/>
    </xf>
    <xf numFmtId="166" fontId="2" fillId="0" borderId="0" xfId="0" applyNumberFormat="1" applyFont="1"/>
    <xf numFmtId="0" fontId="7" fillId="0" borderId="0" xfId="0" applyFont="1"/>
    <xf numFmtId="0" fontId="6" fillId="0" borderId="0" xfId="0" applyFont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4"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F8E5"/>
      <color rgb="FFFFF4D5"/>
      <color rgb="FF541876"/>
      <color rgb="FFE0C0F2"/>
      <color rgb="FFE5E5FF"/>
      <color rgb="FF97E4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91A01-813F-49B0-961E-FEB0760A06CD}">
  <dimension ref="B2:E25"/>
  <sheetViews>
    <sheetView showGridLines="0" tabSelected="1" workbookViewId="0"/>
  </sheetViews>
  <sheetFormatPr defaultRowHeight="14.45"/>
  <cols>
    <col min="1" max="1" width="8.85546875" customWidth="1"/>
  </cols>
  <sheetData>
    <row r="2" spans="2:5">
      <c r="B2" s="2" t="s">
        <v>0</v>
      </c>
    </row>
    <row r="3" spans="2:5">
      <c r="B3" s="1" t="s">
        <v>1</v>
      </c>
      <c r="C3" s="1"/>
      <c r="D3" s="1"/>
      <c r="E3" s="1"/>
    </row>
    <row r="4" spans="2:5">
      <c r="B4" s="1" t="s">
        <v>2</v>
      </c>
      <c r="C4" s="1"/>
      <c r="D4" s="1"/>
      <c r="E4" s="1"/>
    </row>
    <row r="5" spans="2:5">
      <c r="B5" s="1"/>
      <c r="C5" s="1" t="s">
        <v>3</v>
      </c>
      <c r="D5" s="1"/>
      <c r="E5" s="1"/>
    </row>
    <row r="6" spans="2:5">
      <c r="B6" s="1"/>
      <c r="C6" s="1" t="s">
        <v>4</v>
      </c>
      <c r="D6" s="1"/>
      <c r="E6" s="1"/>
    </row>
    <row r="7" spans="2:5">
      <c r="B7" s="1"/>
      <c r="C7" s="1" t="s">
        <v>5</v>
      </c>
      <c r="D7" s="1"/>
      <c r="E7" s="1"/>
    </row>
    <row r="8" spans="2:5">
      <c r="B8" s="1"/>
      <c r="C8" s="1" t="s">
        <v>6</v>
      </c>
      <c r="D8" s="1"/>
      <c r="E8" s="1"/>
    </row>
    <row r="9" spans="2:5">
      <c r="B9" s="1"/>
      <c r="C9" s="1" t="s">
        <v>7</v>
      </c>
      <c r="D9" s="1"/>
      <c r="E9" s="1"/>
    </row>
    <row r="10" spans="2:5">
      <c r="B10" s="1" t="s">
        <v>8</v>
      </c>
      <c r="C10" s="1"/>
      <c r="D10" s="1"/>
      <c r="E10" s="1"/>
    </row>
    <row r="11" spans="2:5">
      <c r="B11" s="1"/>
      <c r="C11" s="1" t="s">
        <v>3</v>
      </c>
      <c r="D11" s="1"/>
      <c r="E11" s="1"/>
    </row>
    <row r="12" spans="2:5">
      <c r="B12" s="1"/>
      <c r="C12" s="1" t="s">
        <v>9</v>
      </c>
      <c r="D12" s="1"/>
      <c r="E12" s="1"/>
    </row>
    <row r="13" spans="2:5">
      <c r="B13" s="1"/>
      <c r="C13" s="1" t="s">
        <v>10</v>
      </c>
      <c r="D13" s="1"/>
      <c r="E13" s="1"/>
    </row>
    <row r="14" spans="2:5">
      <c r="B14" s="1"/>
      <c r="C14" s="1"/>
      <c r="D14" s="1" t="s">
        <v>11</v>
      </c>
      <c r="E14" s="1"/>
    </row>
    <row r="15" spans="2:5">
      <c r="B15" s="1"/>
      <c r="C15" s="1"/>
      <c r="D15" s="1" t="s">
        <v>12</v>
      </c>
      <c r="E15" s="1"/>
    </row>
    <row r="16" spans="2:5">
      <c r="B16" s="1"/>
      <c r="C16" s="1"/>
      <c r="D16" s="1" t="s">
        <v>13</v>
      </c>
      <c r="E16" s="1"/>
    </row>
    <row r="17" spans="2:5">
      <c r="B17" s="1"/>
      <c r="C17" s="1"/>
      <c r="D17" s="1" t="s">
        <v>14</v>
      </c>
      <c r="E17" s="1"/>
    </row>
    <row r="18" spans="2:5">
      <c r="B18" s="1"/>
      <c r="C18" s="1"/>
      <c r="D18" s="1" t="s">
        <v>15</v>
      </c>
      <c r="E18" s="1"/>
    </row>
    <row r="19" spans="2:5">
      <c r="B19" s="1"/>
      <c r="C19" s="1"/>
      <c r="D19" s="1"/>
      <c r="E19" s="1" t="s">
        <v>16</v>
      </c>
    </row>
    <row r="20" spans="2:5">
      <c r="B20" s="1"/>
      <c r="C20" s="1" t="s">
        <v>17</v>
      </c>
      <c r="D20" s="1"/>
      <c r="E20" s="1"/>
    </row>
    <row r="21" spans="2:5">
      <c r="B21" s="1"/>
      <c r="C21" s="1"/>
      <c r="D21" s="1" t="s">
        <v>18</v>
      </c>
      <c r="E21" s="1"/>
    </row>
    <row r="23" spans="2:5">
      <c r="B23" s="1" t="s">
        <v>19</v>
      </c>
    </row>
    <row r="25" spans="2:5">
      <c r="B25" s="3" t="s">
        <v>20</v>
      </c>
    </row>
  </sheetData>
  <pageMargins left="0.7" right="0.7" top="0.75" bottom="0.75" header="0.3" footer="0.3"/>
  <pageSetup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B2BEB-20FF-4AAA-85CD-811BE4BD77CF}">
  <sheetPr codeName="Sheet9"/>
  <dimension ref="A1:AL86"/>
  <sheetViews>
    <sheetView showGridLines="0" zoomScale="90" zoomScaleNormal="90" workbookViewId="0">
      <pane xSplit="5" ySplit="2" topLeftCell="F3" activePane="bottomRight" state="frozen"/>
      <selection pane="bottomRight"/>
      <selection pane="bottomLeft" activeCell="A2" sqref="A2"/>
      <selection pane="topRight" activeCell="E1" sqref="E1"/>
    </sheetView>
  </sheetViews>
  <sheetFormatPr defaultRowHeight="14.45" outlineLevelCol="3"/>
  <cols>
    <col min="1" max="1" width="30.140625" bestFit="1" customWidth="1"/>
    <col min="2" max="2" width="67.140625" style="1" customWidth="1"/>
    <col min="3" max="3" width="22.85546875" bestFit="1" customWidth="1"/>
    <col min="4" max="4" width="10.85546875" hidden="1" customWidth="1"/>
    <col min="5" max="5" width="14.5703125" customWidth="1"/>
    <col min="6" max="9" width="13.42578125" customWidth="1"/>
    <col min="10" max="10" width="16.140625" hidden="1" customWidth="1"/>
    <col min="11" max="11" width="2.42578125" hidden="1" customWidth="1"/>
    <col min="12" max="13" width="14.5703125" customWidth="1"/>
    <col min="14" max="18" width="11.85546875" customWidth="1" outlineLevel="1"/>
    <col min="19" max="19" width="11.85546875" customWidth="1"/>
    <col min="20" max="20" width="14.7109375" customWidth="1" outlineLevel="2"/>
    <col min="21" max="21" width="15.7109375" customWidth="1" outlineLevel="2"/>
    <col min="22" max="22" width="15.28515625" customWidth="1" outlineLevel="2"/>
    <col min="23" max="23" width="40.7109375" customWidth="1" outlineLevel="2"/>
    <col min="24" max="24" width="16.85546875" customWidth="1" outlineLevel="1"/>
    <col min="25" max="27" width="14.7109375" customWidth="1" outlineLevel="2"/>
    <col min="28" max="32" width="14.7109375" customWidth="1" outlineLevel="3"/>
    <col min="33" max="33" width="15.85546875" customWidth="1" outlineLevel="3"/>
    <col min="34" max="34" width="15.140625" customWidth="1" outlineLevel="3"/>
    <col min="35" max="35" width="14.7109375" customWidth="1" outlineLevel="3"/>
    <col min="36" max="36" width="14.7109375" customWidth="1" outlineLevel="1"/>
    <col min="37" max="37" width="14.7109375" customWidth="1"/>
    <col min="38" max="38" width="14.7109375" customWidth="1" collapsed="1"/>
  </cols>
  <sheetData>
    <row r="1" spans="1:38">
      <c r="L1" s="36" t="s">
        <v>21</v>
      </c>
      <c r="M1" s="36"/>
      <c r="N1" s="12" t="s">
        <v>22</v>
      </c>
      <c r="O1" s="12" t="s">
        <v>22</v>
      </c>
      <c r="P1" s="12" t="s">
        <v>22</v>
      </c>
      <c r="Q1" s="12" t="s">
        <v>22</v>
      </c>
      <c r="R1" s="12" t="s">
        <v>22</v>
      </c>
      <c r="S1" s="16" t="s">
        <v>23</v>
      </c>
      <c r="T1" s="12" t="s">
        <v>24</v>
      </c>
      <c r="U1" s="12" t="s">
        <v>24</v>
      </c>
      <c r="V1" s="12" t="s">
        <v>24</v>
      </c>
      <c r="W1" s="12" t="s">
        <v>24</v>
      </c>
      <c r="X1" s="16" t="s">
        <v>23</v>
      </c>
      <c r="Y1" s="12" t="s">
        <v>25</v>
      </c>
      <c r="Z1" s="12" t="s">
        <v>25</v>
      </c>
      <c r="AA1" s="12" t="s">
        <v>25</v>
      </c>
      <c r="AB1" s="12" t="s">
        <v>25</v>
      </c>
      <c r="AC1" s="12" t="s">
        <v>25</v>
      </c>
      <c r="AD1" s="12" t="s">
        <v>25</v>
      </c>
      <c r="AE1" s="12" t="s">
        <v>25</v>
      </c>
      <c r="AF1" s="12" t="s">
        <v>25</v>
      </c>
      <c r="AG1" s="12" t="s">
        <v>25</v>
      </c>
      <c r="AH1" s="12" t="s">
        <v>25</v>
      </c>
      <c r="AI1" s="12" t="s">
        <v>25</v>
      </c>
      <c r="AJ1" s="16" t="s">
        <v>23</v>
      </c>
      <c r="AK1" s="16" t="s">
        <v>23</v>
      </c>
      <c r="AL1" s="12" t="s">
        <v>26</v>
      </c>
    </row>
    <row r="2" spans="1:38" s="4" customFormat="1" ht="66.95" customHeight="1">
      <c r="A2" s="22" t="s">
        <v>27</v>
      </c>
      <c r="B2" s="22" t="s">
        <v>28</v>
      </c>
      <c r="C2" s="22" t="s">
        <v>29</v>
      </c>
      <c r="D2" s="22" t="s">
        <v>30</v>
      </c>
      <c r="E2" s="23" t="s">
        <v>31</v>
      </c>
      <c r="F2" s="22" t="s">
        <v>32</v>
      </c>
      <c r="G2" s="22" t="s">
        <v>33</v>
      </c>
      <c r="H2" s="22" t="s">
        <v>34</v>
      </c>
      <c r="I2" s="22" t="s">
        <v>35</v>
      </c>
      <c r="J2" s="22" t="s">
        <v>36</v>
      </c>
      <c r="K2" s="22" t="s">
        <v>37</v>
      </c>
      <c r="L2" s="24" t="s">
        <v>38</v>
      </c>
      <c r="M2" s="24" t="s">
        <v>39</v>
      </c>
      <c r="N2" s="25" t="s">
        <v>40</v>
      </c>
      <c r="O2" s="25" t="s">
        <v>41</v>
      </c>
      <c r="P2" s="25" t="s">
        <v>42</v>
      </c>
      <c r="Q2" s="25" t="s">
        <v>43</v>
      </c>
      <c r="R2" s="25" t="s">
        <v>44</v>
      </c>
      <c r="S2" s="26" t="s">
        <v>45</v>
      </c>
      <c r="T2" s="27" t="s">
        <v>46</v>
      </c>
      <c r="U2" s="27" t="s">
        <v>47</v>
      </c>
      <c r="V2" s="27" t="s">
        <v>48</v>
      </c>
      <c r="W2" s="27" t="s">
        <v>49</v>
      </c>
      <c r="X2" s="28" t="s">
        <v>50</v>
      </c>
      <c r="Y2" s="13" t="s">
        <v>51</v>
      </c>
      <c r="Z2" s="13" t="s">
        <v>52</v>
      </c>
      <c r="AA2" s="13" t="s">
        <v>53</v>
      </c>
      <c r="AB2" s="29" t="s">
        <v>54</v>
      </c>
      <c r="AC2" s="13" t="s">
        <v>55</v>
      </c>
      <c r="AD2" s="13" t="s">
        <v>56</v>
      </c>
      <c r="AE2" s="13" t="s">
        <v>57</v>
      </c>
      <c r="AF2" s="13" t="s">
        <v>58</v>
      </c>
      <c r="AG2" s="13" t="s">
        <v>59</v>
      </c>
      <c r="AH2" s="13" t="s">
        <v>60</v>
      </c>
      <c r="AI2" s="13" t="s">
        <v>61</v>
      </c>
      <c r="AJ2" s="30" t="s">
        <v>62</v>
      </c>
      <c r="AK2" s="31" t="s">
        <v>63</v>
      </c>
      <c r="AL2" s="8" t="s">
        <v>26</v>
      </c>
    </row>
    <row r="3" spans="1:38" s="1" customFormat="1" ht="12.95">
      <c r="A3" s="1" t="s">
        <v>64</v>
      </c>
      <c r="B3" s="6" t="s">
        <v>65</v>
      </c>
      <c r="C3" s="6" t="str">
        <f t="shared" ref="C3:C34" si="0">IF(D3&gt;0.02, "Variance exceeds +/- 2%", IF(D3&lt;-0.02,"Variance exceeds +/- 2%", ""))</f>
        <v/>
      </c>
      <c r="D3" s="18">
        <f t="shared" ref="D3:D34" si="1">E3/L3</f>
        <v>4.9599999914298187E-8</v>
      </c>
      <c r="E3" s="17">
        <f>L3-M3</f>
        <v>0.45879999920725822</v>
      </c>
      <c r="F3" s="1" t="s">
        <v>64</v>
      </c>
      <c r="G3" s="1" t="s">
        <v>66</v>
      </c>
      <c r="H3" s="1" t="s">
        <v>67</v>
      </c>
      <c r="I3" s="32"/>
      <c r="J3" s="33" t="s">
        <v>68</v>
      </c>
      <c r="K3" s="33" t="s">
        <v>68</v>
      </c>
      <c r="L3" s="17">
        <v>9250000</v>
      </c>
      <c r="M3" s="17">
        <f>SUM(S3,AK3)</f>
        <v>9249999.5412000008</v>
      </c>
      <c r="N3" s="21">
        <v>0</v>
      </c>
      <c r="O3" s="21">
        <v>0</v>
      </c>
      <c r="P3" s="21">
        <v>0</v>
      </c>
      <c r="Q3" s="21">
        <v>0</v>
      </c>
      <c r="R3" s="21">
        <v>0</v>
      </c>
      <c r="S3" s="17">
        <f t="shared" ref="S3:S10" si="2">SUM(N3:R3)</f>
        <v>0</v>
      </c>
      <c r="T3" s="21">
        <v>647510.90760000015</v>
      </c>
      <c r="U3" s="21">
        <v>462479.72400000005</v>
      </c>
      <c r="V3" s="21">
        <v>46194.292800000003</v>
      </c>
      <c r="W3" s="21" t="s">
        <v>69</v>
      </c>
      <c r="X3" s="17">
        <f t="shared" ref="X3:X10" si="3">SUM(T3:V3)</f>
        <v>1156184.9244000001</v>
      </c>
      <c r="Y3" s="20">
        <v>1387412.1324</v>
      </c>
      <c r="Z3" s="20">
        <v>4208904.0828</v>
      </c>
      <c r="AA3" s="20">
        <v>1849987.4940000004</v>
      </c>
      <c r="AB3" s="20">
        <v>0</v>
      </c>
      <c r="AC3" s="20">
        <v>0</v>
      </c>
      <c r="AD3" s="20">
        <v>0</v>
      </c>
      <c r="AE3" s="20">
        <v>0</v>
      </c>
      <c r="AF3" s="20">
        <v>0</v>
      </c>
      <c r="AG3" s="20">
        <v>0</v>
      </c>
      <c r="AH3" s="20">
        <v>0</v>
      </c>
      <c r="AI3" s="20">
        <v>647510.90760000015</v>
      </c>
      <c r="AJ3" s="34">
        <f t="shared" ref="AJ3:AJ34" si="4">SUM(Y3:AI3)</f>
        <v>8093814.6168000009</v>
      </c>
      <c r="AK3" s="17">
        <f t="shared" ref="AK3:AK66" si="5">SUM(X3,AJ3)</f>
        <v>9249999.5412000008</v>
      </c>
      <c r="AL3" s="21">
        <v>0</v>
      </c>
    </row>
    <row r="4" spans="1:38" s="1" customFormat="1" ht="12.95">
      <c r="A4" s="1" t="s">
        <v>64</v>
      </c>
      <c r="B4" s="6" t="s">
        <v>70</v>
      </c>
      <c r="C4" s="6" t="str">
        <f t="shared" si="0"/>
        <v/>
      </c>
      <c r="D4" s="18">
        <f t="shared" si="1"/>
        <v>4.9599999966828721E-8</v>
      </c>
      <c r="E4" s="17">
        <f>L4-M4</f>
        <v>1.7111999988555908</v>
      </c>
      <c r="F4" s="1" t="s">
        <v>64</v>
      </c>
      <c r="G4" s="1" t="s">
        <v>66</v>
      </c>
      <c r="H4" s="1" t="s">
        <v>67</v>
      </c>
      <c r="I4" s="32"/>
      <c r="J4" s="33" t="s">
        <v>68</v>
      </c>
      <c r="K4" s="33" t="s">
        <v>68</v>
      </c>
      <c r="L4" s="17">
        <v>34500000</v>
      </c>
      <c r="M4" s="17">
        <f>SUM(S4,AK4)</f>
        <v>34499998.288800001</v>
      </c>
      <c r="N4" s="21">
        <v>0</v>
      </c>
      <c r="O4" s="21">
        <v>0</v>
      </c>
      <c r="P4" s="21">
        <v>0</v>
      </c>
      <c r="Q4" s="21">
        <v>0</v>
      </c>
      <c r="R4" s="21">
        <v>0</v>
      </c>
      <c r="S4" s="17">
        <f t="shared" si="2"/>
        <v>0</v>
      </c>
      <c r="T4" s="21">
        <v>2415040.6824000003</v>
      </c>
      <c r="U4" s="21">
        <v>1724924.3760000002</v>
      </c>
      <c r="V4" s="21">
        <v>172292.22719999999</v>
      </c>
      <c r="W4" s="21" t="s">
        <v>69</v>
      </c>
      <c r="X4" s="17">
        <f t="shared" si="3"/>
        <v>4312257.2856000001</v>
      </c>
      <c r="Y4" s="20">
        <v>5174672.2776000006</v>
      </c>
      <c r="Z4" s="20">
        <v>15698074.687200001</v>
      </c>
      <c r="AA4" s="20">
        <v>6899953.3560000015</v>
      </c>
      <c r="AB4" s="20">
        <v>0</v>
      </c>
      <c r="AC4" s="20">
        <v>0</v>
      </c>
      <c r="AD4" s="20">
        <v>0</v>
      </c>
      <c r="AE4" s="20">
        <v>0</v>
      </c>
      <c r="AF4" s="20">
        <v>0</v>
      </c>
      <c r="AG4" s="20">
        <v>0</v>
      </c>
      <c r="AH4" s="20">
        <v>0</v>
      </c>
      <c r="AI4" s="20">
        <v>2415040.6824000003</v>
      </c>
      <c r="AJ4" s="34">
        <f t="shared" si="4"/>
        <v>30187741.003200002</v>
      </c>
      <c r="AK4" s="17">
        <f t="shared" si="5"/>
        <v>34499998.288800001</v>
      </c>
      <c r="AL4" s="21">
        <v>0</v>
      </c>
    </row>
    <row r="5" spans="1:38" s="1" customFormat="1" ht="12.95">
      <c r="A5" s="1" t="s">
        <v>71</v>
      </c>
      <c r="B5" s="6" t="s">
        <v>72</v>
      </c>
      <c r="C5" s="6" t="str">
        <f t="shared" si="0"/>
        <v/>
      </c>
      <c r="D5" s="18">
        <f t="shared" si="1"/>
        <v>1.3340379622047087E-2</v>
      </c>
      <c r="E5" s="17">
        <f>L5-M5</f>
        <v>32833.880077518988</v>
      </c>
      <c r="F5" s="1" t="s">
        <v>73</v>
      </c>
      <c r="G5" s="1" t="s">
        <v>74</v>
      </c>
      <c r="H5" s="35" t="s">
        <v>67</v>
      </c>
      <c r="I5" s="32"/>
      <c r="J5" s="33" t="s">
        <v>68</v>
      </c>
      <c r="K5" s="33" t="s">
        <v>68</v>
      </c>
      <c r="L5" s="17">
        <v>2461240.3100775192</v>
      </c>
      <c r="M5" s="17">
        <f>SUM(S5,AK5)</f>
        <v>2428406.4300000002</v>
      </c>
      <c r="N5" s="21">
        <v>0</v>
      </c>
      <c r="O5" s="21">
        <v>0</v>
      </c>
      <c r="P5" s="21">
        <v>0</v>
      </c>
      <c r="Q5" s="21">
        <v>0</v>
      </c>
      <c r="R5" s="21">
        <v>13200</v>
      </c>
      <c r="S5" s="17">
        <f t="shared" si="2"/>
        <v>13200</v>
      </c>
      <c r="T5" s="21">
        <v>0</v>
      </c>
      <c r="U5" s="21">
        <v>120965.67</v>
      </c>
      <c r="V5" s="21">
        <v>12097.260000000002</v>
      </c>
      <c r="W5" s="21" t="s">
        <v>69</v>
      </c>
      <c r="X5" s="17">
        <f t="shared" si="3"/>
        <v>133062.93</v>
      </c>
      <c r="Y5" s="20">
        <v>241313.94000000003</v>
      </c>
      <c r="Z5" s="20">
        <v>2040829.56</v>
      </c>
      <c r="AA5" s="20">
        <v>0</v>
      </c>
      <c r="AB5" s="20">
        <v>0</v>
      </c>
      <c r="AC5" s="20">
        <v>0</v>
      </c>
      <c r="AD5" s="20">
        <v>0</v>
      </c>
      <c r="AE5" s="20">
        <v>0</v>
      </c>
      <c r="AF5" s="20">
        <v>0</v>
      </c>
      <c r="AG5" s="20">
        <v>0</v>
      </c>
      <c r="AH5" s="20">
        <v>0</v>
      </c>
      <c r="AI5" s="20">
        <v>0</v>
      </c>
      <c r="AJ5" s="34">
        <f t="shared" si="4"/>
        <v>2282143.5</v>
      </c>
      <c r="AK5" s="17">
        <f t="shared" si="5"/>
        <v>2415206.4300000002</v>
      </c>
      <c r="AL5" s="21">
        <v>0</v>
      </c>
    </row>
    <row r="6" spans="1:38" s="1" customFormat="1" ht="12.95">
      <c r="A6" s="1" t="s">
        <v>75</v>
      </c>
      <c r="B6" s="6" t="s">
        <v>76</v>
      </c>
      <c r="C6" s="6" t="str">
        <f t="shared" si="0"/>
        <v/>
      </c>
      <c r="D6" s="18">
        <f t="shared" si="1"/>
        <v>-1.7528018356038302E-7</v>
      </c>
      <c r="E6" s="17">
        <f>L6-M6</f>
        <v>-4.995689045637846</v>
      </c>
      <c r="F6" s="1" t="s">
        <v>77</v>
      </c>
      <c r="G6" s="1" t="s">
        <v>78</v>
      </c>
      <c r="H6" s="1" t="s">
        <v>79</v>
      </c>
      <c r="I6" s="32"/>
      <c r="J6" s="33" t="s">
        <v>68</v>
      </c>
      <c r="K6" s="33" t="s">
        <v>80</v>
      </c>
      <c r="L6" s="17">
        <v>28501162.790697671</v>
      </c>
      <c r="M6" s="17">
        <f>SUM(S6,AK6)</f>
        <v>28501167.786386717</v>
      </c>
      <c r="N6" s="21">
        <v>0</v>
      </c>
      <c r="O6" s="21">
        <v>0</v>
      </c>
      <c r="P6" s="21">
        <v>0</v>
      </c>
      <c r="Q6" s="21">
        <v>0</v>
      </c>
      <c r="R6" s="21">
        <v>0</v>
      </c>
      <c r="S6" s="17">
        <f t="shared" si="2"/>
        <v>0</v>
      </c>
      <c r="T6" s="21">
        <v>0</v>
      </c>
      <c r="U6" s="21">
        <v>0</v>
      </c>
      <c r="V6" s="21">
        <v>0</v>
      </c>
      <c r="W6" s="21"/>
      <c r="X6" s="17">
        <f t="shared" si="3"/>
        <v>0</v>
      </c>
      <c r="Y6" s="20">
        <v>0</v>
      </c>
      <c r="Z6" s="20">
        <v>0</v>
      </c>
      <c r="AA6" s="20">
        <v>0</v>
      </c>
      <c r="AB6" s="20">
        <v>0</v>
      </c>
      <c r="AC6" s="20">
        <v>28501167.786386717</v>
      </c>
      <c r="AD6" s="20">
        <v>0</v>
      </c>
      <c r="AE6" s="20">
        <v>0</v>
      </c>
      <c r="AF6" s="20">
        <v>0</v>
      </c>
      <c r="AG6" s="20">
        <v>0</v>
      </c>
      <c r="AH6" s="20">
        <v>0</v>
      </c>
      <c r="AI6" s="20">
        <v>0</v>
      </c>
      <c r="AJ6" s="34">
        <f t="shared" si="4"/>
        <v>28501167.786386717</v>
      </c>
      <c r="AK6" s="17">
        <f t="shared" si="5"/>
        <v>28501167.786386717</v>
      </c>
      <c r="AL6" s="21">
        <v>0</v>
      </c>
    </row>
    <row r="7" spans="1:38" s="1" customFormat="1" ht="12.95">
      <c r="A7" s="1" t="s">
        <v>75</v>
      </c>
      <c r="B7" s="6" t="s">
        <v>81</v>
      </c>
      <c r="C7" s="6" t="str">
        <f t="shared" si="0"/>
        <v/>
      </c>
      <c r="D7" s="18">
        <f t="shared" si="1"/>
        <v>-1.7528018355369569E-7</v>
      </c>
      <c r="E7" s="17">
        <f>L7-M7</f>
        <v>-0.85449089482426643</v>
      </c>
      <c r="F7" s="1" t="s">
        <v>77</v>
      </c>
      <c r="G7" s="1" t="s">
        <v>78</v>
      </c>
      <c r="H7" s="1" t="s">
        <v>79</v>
      </c>
      <c r="I7" s="32"/>
      <c r="J7" s="33" t="s">
        <v>68</v>
      </c>
      <c r="K7" s="33" t="s">
        <v>80</v>
      </c>
      <c r="L7" s="17">
        <v>4875000</v>
      </c>
      <c r="M7" s="17">
        <f>SUM(S7,AK7)</f>
        <v>4875000.8544908948</v>
      </c>
      <c r="N7" s="21">
        <v>0</v>
      </c>
      <c r="O7" s="21">
        <v>0</v>
      </c>
      <c r="P7" s="21">
        <v>0</v>
      </c>
      <c r="Q7" s="21">
        <v>0</v>
      </c>
      <c r="R7" s="21">
        <v>0</v>
      </c>
      <c r="S7" s="17">
        <f t="shared" si="2"/>
        <v>0</v>
      </c>
      <c r="T7" s="21">
        <v>0</v>
      </c>
      <c r="U7" s="21">
        <v>0</v>
      </c>
      <c r="V7" s="21">
        <v>0</v>
      </c>
      <c r="W7" s="21"/>
      <c r="X7" s="17">
        <f t="shared" si="3"/>
        <v>0</v>
      </c>
      <c r="Y7" s="20">
        <v>0</v>
      </c>
      <c r="Z7" s="20">
        <v>0</v>
      </c>
      <c r="AA7" s="20">
        <v>0</v>
      </c>
      <c r="AB7" s="20">
        <v>0</v>
      </c>
      <c r="AC7" s="20">
        <v>4875000.8544908948</v>
      </c>
      <c r="AD7" s="20">
        <v>0</v>
      </c>
      <c r="AE7" s="20">
        <v>0</v>
      </c>
      <c r="AF7" s="20">
        <v>0</v>
      </c>
      <c r="AG7" s="20">
        <v>0</v>
      </c>
      <c r="AH7" s="20">
        <v>0</v>
      </c>
      <c r="AI7" s="20">
        <v>0</v>
      </c>
      <c r="AJ7" s="34">
        <f t="shared" si="4"/>
        <v>4875000.8544908948</v>
      </c>
      <c r="AK7" s="17">
        <f t="shared" si="5"/>
        <v>4875000.8544908948</v>
      </c>
      <c r="AL7" s="21">
        <v>0</v>
      </c>
    </row>
    <row r="8" spans="1:38" s="1" customFormat="1" ht="12.95">
      <c r="A8" s="1" t="s">
        <v>75</v>
      </c>
      <c r="B8" s="6" t="s">
        <v>82</v>
      </c>
      <c r="C8" s="6" t="str">
        <f t="shared" si="0"/>
        <v/>
      </c>
      <c r="D8" s="18">
        <f t="shared" si="1"/>
        <v>-1.7528018362116157E-7</v>
      </c>
      <c r="E8" s="17">
        <f>L8-M8</f>
        <v>-0.43140665348619223</v>
      </c>
      <c r="F8" s="1" t="s">
        <v>77</v>
      </c>
      <c r="G8" s="1" t="s">
        <v>78</v>
      </c>
      <c r="H8" s="1" t="s">
        <v>79</v>
      </c>
      <c r="I8" s="32"/>
      <c r="J8" s="33" t="s">
        <v>68</v>
      </c>
      <c r="K8" s="33" t="s">
        <v>80</v>
      </c>
      <c r="L8" s="17">
        <v>2461240.3100775192</v>
      </c>
      <c r="M8" s="17">
        <f>SUM(S8,AK8)</f>
        <v>2461240.7414841726</v>
      </c>
      <c r="N8" s="21">
        <v>0</v>
      </c>
      <c r="O8" s="21">
        <v>0</v>
      </c>
      <c r="P8" s="21">
        <v>0</v>
      </c>
      <c r="Q8" s="21">
        <v>0</v>
      </c>
      <c r="R8" s="21">
        <v>0</v>
      </c>
      <c r="S8" s="17">
        <f t="shared" si="2"/>
        <v>0</v>
      </c>
      <c r="T8" s="21">
        <v>0</v>
      </c>
      <c r="U8" s="21">
        <v>0</v>
      </c>
      <c r="V8" s="21">
        <v>0</v>
      </c>
      <c r="W8" s="21"/>
      <c r="X8" s="17">
        <f t="shared" si="3"/>
        <v>0</v>
      </c>
      <c r="Y8" s="20">
        <v>0</v>
      </c>
      <c r="Z8" s="20">
        <v>0</v>
      </c>
      <c r="AA8" s="20">
        <v>0</v>
      </c>
      <c r="AB8" s="20">
        <v>0</v>
      </c>
      <c r="AC8" s="20">
        <v>2461240.7414841726</v>
      </c>
      <c r="AD8" s="20">
        <v>0</v>
      </c>
      <c r="AE8" s="20">
        <v>0</v>
      </c>
      <c r="AF8" s="20">
        <v>0</v>
      </c>
      <c r="AG8" s="20">
        <v>0</v>
      </c>
      <c r="AH8" s="20">
        <v>0</v>
      </c>
      <c r="AI8" s="20">
        <v>0</v>
      </c>
      <c r="AJ8" s="34">
        <f t="shared" si="4"/>
        <v>2461240.7414841726</v>
      </c>
      <c r="AK8" s="17">
        <f t="shared" si="5"/>
        <v>2461240.7414841726</v>
      </c>
      <c r="AL8" s="21">
        <v>0</v>
      </c>
    </row>
    <row r="9" spans="1:38" s="1" customFormat="1" ht="12.95">
      <c r="A9" s="1" t="s">
        <v>75</v>
      </c>
      <c r="B9" s="6" t="s">
        <v>83</v>
      </c>
      <c r="C9" s="6" t="str">
        <f t="shared" si="0"/>
        <v/>
      </c>
      <c r="D9" s="18">
        <f t="shared" si="1"/>
        <v>-1.7528018355369569E-7</v>
      </c>
      <c r="E9" s="17">
        <f>L9-M9</f>
        <v>-0.59157061949372292</v>
      </c>
      <c r="F9" s="1" t="s">
        <v>77</v>
      </c>
      <c r="G9" s="1" t="s">
        <v>78</v>
      </c>
      <c r="H9" s="1" t="s">
        <v>79</v>
      </c>
      <c r="I9" s="32"/>
      <c r="J9" s="33" t="s">
        <v>68</v>
      </c>
      <c r="K9" s="33" t="s">
        <v>80</v>
      </c>
      <c r="L9" s="17">
        <v>3375000</v>
      </c>
      <c r="M9" s="17">
        <f>SUM(S9,AK9)</f>
        <v>3375000.5915706195</v>
      </c>
      <c r="N9" s="21">
        <v>0</v>
      </c>
      <c r="O9" s="21">
        <v>0</v>
      </c>
      <c r="P9" s="21">
        <v>0</v>
      </c>
      <c r="Q9" s="21">
        <v>0</v>
      </c>
      <c r="R9" s="21">
        <v>0</v>
      </c>
      <c r="S9" s="17">
        <f t="shared" si="2"/>
        <v>0</v>
      </c>
      <c r="T9" s="21">
        <v>0</v>
      </c>
      <c r="U9" s="21">
        <v>0</v>
      </c>
      <c r="V9" s="21">
        <v>0</v>
      </c>
      <c r="W9" s="21"/>
      <c r="X9" s="17">
        <f t="shared" si="3"/>
        <v>0</v>
      </c>
      <c r="Y9" s="20">
        <v>0</v>
      </c>
      <c r="Z9" s="20">
        <v>0</v>
      </c>
      <c r="AA9" s="20">
        <v>0</v>
      </c>
      <c r="AB9" s="20">
        <v>0</v>
      </c>
      <c r="AC9" s="20">
        <v>3375000.5915706195</v>
      </c>
      <c r="AD9" s="20">
        <v>0</v>
      </c>
      <c r="AE9" s="20">
        <v>0</v>
      </c>
      <c r="AF9" s="20">
        <v>0</v>
      </c>
      <c r="AG9" s="20">
        <v>0</v>
      </c>
      <c r="AH9" s="20">
        <v>0</v>
      </c>
      <c r="AI9" s="20">
        <v>0</v>
      </c>
      <c r="AJ9" s="34">
        <f t="shared" si="4"/>
        <v>3375000.5915706195</v>
      </c>
      <c r="AK9" s="17">
        <f t="shared" si="5"/>
        <v>3375000.5915706195</v>
      </c>
      <c r="AL9" s="21">
        <v>0</v>
      </c>
    </row>
    <row r="10" spans="1:38" s="1" customFormat="1" ht="12.95">
      <c r="A10" s="1" t="s">
        <v>75</v>
      </c>
      <c r="B10" s="6" t="s">
        <v>84</v>
      </c>
      <c r="C10" s="6" t="str">
        <f t="shared" si="0"/>
        <v/>
      </c>
      <c r="D10" s="18">
        <f t="shared" si="1"/>
        <v>-1.7528018349097539E-7</v>
      </c>
      <c r="E10" s="17">
        <f>L10-M10</f>
        <v>-3.2248509814962745E-2</v>
      </c>
      <c r="F10" s="1" t="s">
        <v>77</v>
      </c>
      <c r="G10" s="1" t="s">
        <v>78</v>
      </c>
      <c r="H10" s="1" t="s">
        <v>79</v>
      </c>
      <c r="I10" s="32"/>
      <c r="J10" s="33" t="s">
        <v>68</v>
      </c>
      <c r="K10" s="33" t="s">
        <v>80</v>
      </c>
      <c r="L10" s="17">
        <v>183982.63381908837</v>
      </c>
      <c r="M10" s="17">
        <f>SUM(S10,AK10)</f>
        <v>183982.66606759818</v>
      </c>
      <c r="N10" s="21">
        <v>0</v>
      </c>
      <c r="O10" s="21">
        <v>0</v>
      </c>
      <c r="P10" s="21">
        <v>0</v>
      </c>
      <c r="Q10" s="21">
        <v>0</v>
      </c>
      <c r="R10" s="21">
        <v>0</v>
      </c>
      <c r="S10" s="17">
        <f t="shared" si="2"/>
        <v>0</v>
      </c>
      <c r="T10" s="21">
        <v>0</v>
      </c>
      <c r="U10" s="21">
        <v>0</v>
      </c>
      <c r="V10" s="21">
        <v>0</v>
      </c>
      <c r="W10" s="21"/>
      <c r="X10" s="17">
        <f t="shared" si="3"/>
        <v>0</v>
      </c>
      <c r="Y10" s="20">
        <v>0</v>
      </c>
      <c r="Z10" s="20">
        <v>0</v>
      </c>
      <c r="AA10" s="20">
        <v>0</v>
      </c>
      <c r="AB10" s="20">
        <v>0</v>
      </c>
      <c r="AC10" s="20">
        <v>183982.66606759818</v>
      </c>
      <c r="AD10" s="20">
        <v>0</v>
      </c>
      <c r="AE10" s="20">
        <v>0</v>
      </c>
      <c r="AF10" s="20">
        <v>0</v>
      </c>
      <c r="AG10" s="20">
        <v>0</v>
      </c>
      <c r="AH10" s="20">
        <v>0</v>
      </c>
      <c r="AI10" s="20">
        <v>0</v>
      </c>
      <c r="AJ10" s="34">
        <f t="shared" si="4"/>
        <v>183982.66606759818</v>
      </c>
      <c r="AK10" s="17">
        <f t="shared" si="5"/>
        <v>183982.66606759818</v>
      </c>
      <c r="AL10" s="21">
        <v>0</v>
      </c>
    </row>
    <row r="11" spans="1:38" s="1" customFormat="1" ht="12.95">
      <c r="A11" s="1" t="s">
        <v>85</v>
      </c>
      <c r="B11" s="6" t="s">
        <v>86</v>
      </c>
      <c r="C11" s="6" t="str">
        <f t="shared" si="0"/>
        <v/>
      </c>
      <c r="D11" s="18">
        <f t="shared" si="1"/>
        <v>0</v>
      </c>
      <c r="E11" s="17">
        <v>0</v>
      </c>
      <c r="F11" s="1" t="s">
        <v>77</v>
      </c>
      <c r="G11" s="1" t="s">
        <v>78</v>
      </c>
      <c r="H11" s="1" t="s">
        <v>79</v>
      </c>
      <c r="I11" s="32"/>
      <c r="J11" s="33" t="s">
        <v>80</v>
      </c>
      <c r="K11" s="33" t="s">
        <v>80</v>
      </c>
      <c r="L11" s="17">
        <v>11376000</v>
      </c>
      <c r="M11" s="17">
        <f>SUM(S11,AK11)</f>
        <v>11376000</v>
      </c>
      <c r="N11" s="21">
        <v>0</v>
      </c>
      <c r="O11" s="21">
        <v>0</v>
      </c>
      <c r="P11" s="21">
        <v>0</v>
      </c>
      <c r="Q11" s="21">
        <v>0</v>
      </c>
      <c r="R11" s="21">
        <v>0</v>
      </c>
      <c r="S11" s="17">
        <v>11376000</v>
      </c>
      <c r="T11" s="21">
        <v>0</v>
      </c>
      <c r="U11" s="21">
        <v>0</v>
      </c>
      <c r="V11" s="21">
        <v>0</v>
      </c>
      <c r="W11" s="21"/>
      <c r="X11" s="17">
        <v>0</v>
      </c>
      <c r="Y11" s="21">
        <v>0</v>
      </c>
      <c r="Z11" s="21">
        <v>0</v>
      </c>
      <c r="AA11" s="21">
        <v>0</v>
      </c>
      <c r="AB11" s="21">
        <v>0</v>
      </c>
      <c r="AC11" s="21">
        <v>0</v>
      </c>
      <c r="AD11" s="21">
        <v>0</v>
      </c>
      <c r="AE11" s="21">
        <v>0</v>
      </c>
      <c r="AF11" s="21">
        <v>0</v>
      </c>
      <c r="AG11" s="21">
        <v>0</v>
      </c>
      <c r="AH11" s="21">
        <v>0</v>
      </c>
      <c r="AI11" s="21">
        <v>0</v>
      </c>
      <c r="AJ11" s="34">
        <f t="shared" si="4"/>
        <v>0</v>
      </c>
      <c r="AK11" s="17">
        <f t="shared" si="5"/>
        <v>0</v>
      </c>
      <c r="AL11" s="21">
        <v>0</v>
      </c>
    </row>
    <row r="12" spans="1:38" s="1" customFormat="1" ht="12.95">
      <c r="A12" s="1" t="s">
        <v>87</v>
      </c>
      <c r="B12" s="6" t="s">
        <v>88</v>
      </c>
      <c r="C12" s="6" t="str">
        <f t="shared" si="0"/>
        <v/>
      </c>
      <c r="D12" s="18">
        <f t="shared" si="1"/>
        <v>1.6245244104100998E-5</v>
      </c>
      <c r="E12" s="17">
        <f>L12-M12</f>
        <v>168.54440758004785</v>
      </c>
      <c r="F12" s="1" t="s">
        <v>73</v>
      </c>
      <c r="G12" s="1" t="s">
        <v>74</v>
      </c>
      <c r="H12" s="35" t="s">
        <v>89</v>
      </c>
      <c r="I12" s="32" t="s">
        <v>90</v>
      </c>
      <c r="J12" s="33" t="s">
        <v>68</v>
      </c>
      <c r="K12" s="33" t="s">
        <v>80</v>
      </c>
      <c r="L12" s="17">
        <v>10375000</v>
      </c>
      <c r="M12" s="17">
        <f>SUM(S12,AK12)</f>
        <v>10374831.45559242</v>
      </c>
      <c r="N12" s="21">
        <v>0</v>
      </c>
      <c r="O12" s="21">
        <v>0</v>
      </c>
      <c r="P12" s="21">
        <v>0</v>
      </c>
      <c r="Q12" s="21">
        <v>0</v>
      </c>
      <c r="R12" s="21">
        <v>0</v>
      </c>
      <c r="S12" s="17">
        <f t="shared" ref="S12:S43" si="6">SUM(N12:R12)</f>
        <v>0</v>
      </c>
      <c r="T12" s="21">
        <v>0</v>
      </c>
      <c r="U12" s="21">
        <v>0</v>
      </c>
      <c r="V12" s="21">
        <v>0</v>
      </c>
      <c r="W12" s="21"/>
      <c r="X12" s="17">
        <f t="shared" ref="X12:X43" si="7">SUM(T12:V12)</f>
        <v>0</v>
      </c>
      <c r="Y12" s="20">
        <v>0</v>
      </c>
      <c r="Z12" s="20">
        <v>0</v>
      </c>
      <c r="AA12" s="20">
        <v>0</v>
      </c>
      <c r="AB12" s="20">
        <v>0</v>
      </c>
      <c r="AC12" s="20">
        <v>0</v>
      </c>
      <c r="AD12" s="20">
        <v>0</v>
      </c>
      <c r="AE12" s="20">
        <v>0</v>
      </c>
      <c r="AF12" s="20">
        <v>0</v>
      </c>
      <c r="AG12" s="20">
        <v>10374831.45559242</v>
      </c>
      <c r="AH12" s="20">
        <v>0</v>
      </c>
      <c r="AI12" s="20">
        <v>0</v>
      </c>
      <c r="AJ12" s="34">
        <f t="shared" si="4"/>
        <v>10374831.45559242</v>
      </c>
      <c r="AK12" s="17">
        <f t="shared" si="5"/>
        <v>10374831.45559242</v>
      </c>
      <c r="AL12" s="21">
        <v>0</v>
      </c>
    </row>
    <row r="13" spans="1:38" s="1" customFormat="1" ht="12.95">
      <c r="A13" s="1" t="s">
        <v>91</v>
      </c>
      <c r="B13" s="6" t="s">
        <v>92</v>
      </c>
      <c r="C13" s="6" t="str">
        <f t="shared" si="0"/>
        <v/>
      </c>
      <c r="D13" s="18">
        <f t="shared" si="1"/>
        <v>-5.0700578024621647E-7</v>
      </c>
      <c r="E13" s="17">
        <f>L13-M13</f>
        <v>-5.4819999989122152</v>
      </c>
      <c r="F13" s="1" t="s">
        <v>93</v>
      </c>
      <c r="G13" s="1" t="s">
        <v>94</v>
      </c>
      <c r="H13" s="1" t="s">
        <v>89</v>
      </c>
      <c r="I13" s="32"/>
      <c r="J13" s="33" t="s">
        <v>68</v>
      </c>
      <c r="K13" s="33" t="s">
        <v>80</v>
      </c>
      <c r="L13" s="17">
        <v>10812500</v>
      </c>
      <c r="M13" s="17">
        <f>SUM(S13,AK13)</f>
        <v>10812505.481999999</v>
      </c>
      <c r="N13" s="21">
        <v>0</v>
      </c>
      <c r="O13" s="21">
        <v>0</v>
      </c>
      <c r="P13" s="21">
        <v>0</v>
      </c>
      <c r="Q13" s="21">
        <v>0</v>
      </c>
      <c r="R13" s="21">
        <v>0</v>
      </c>
      <c r="S13" s="17">
        <f t="shared" si="6"/>
        <v>0</v>
      </c>
      <c r="T13" s="21">
        <v>0</v>
      </c>
      <c r="U13" s="21">
        <v>0</v>
      </c>
      <c r="V13" s="21">
        <v>0</v>
      </c>
      <c r="W13" s="21"/>
      <c r="X13" s="17">
        <f t="shared" si="7"/>
        <v>0</v>
      </c>
      <c r="Y13" s="20">
        <v>0</v>
      </c>
      <c r="Z13" s="20">
        <v>0</v>
      </c>
      <c r="AA13" s="20">
        <v>0</v>
      </c>
      <c r="AB13" s="20">
        <v>0</v>
      </c>
      <c r="AC13" s="20">
        <v>0</v>
      </c>
      <c r="AD13" s="20">
        <v>0</v>
      </c>
      <c r="AE13" s="20">
        <v>0</v>
      </c>
      <c r="AF13" s="20">
        <v>0</v>
      </c>
      <c r="AG13" s="20">
        <v>10812505.481999999</v>
      </c>
      <c r="AH13" s="20">
        <v>0</v>
      </c>
      <c r="AI13" s="20">
        <v>0</v>
      </c>
      <c r="AJ13" s="34">
        <f t="shared" si="4"/>
        <v>10812505.481999999</v>
      </c>
      <c r="AK13" s="17">
        <f t="shared" si="5"/>
        <v>10812505.481999999</v>
      </c>
      <c r="AL13" s="21">
        <v>0</v>
      </c>
    </row>
    <row r="14" spans="1:38" s="1" customFormat="1" ht="12.95">
      <c r="A14" s="1" t="s">
        <v>95</v>
      </c>
      <c r="B14" s="6" t="s">
        <v>96</v>
      </c>
      <c r="C14" s="6" t="str">
        <f t="shared" si="0"/>
        <v/>
      </c>
      <c r="D14" s="18">
        <f t="shared" si="1"/>
        <v>6.613485725406481E-6</v>
      </c>
      <c r="E14" s="17">
        <f>L14-M14</f>
        <v>40.507600068114698</v>
      </c>
      <c r="F14" s="1" t="s">
        <v>97</v>
      </c>
      <c r="G14" s="1" t="s">
        <v>98</v>
      </c>
      <c r="H14" s="1" t="s">
        <v>99</v>
      </c>
      <c r="I14" s="32" t="s">
        <v>100</v>
      </c>
      <c r="J14" s="33" t="s">
        <v>68</v>
      </c>
      <c r="K14" s="33" t="s">
        <v>68</v>
      </c>
      <c r="L14" s="17">
        <v>6125000</v>
      </c>
      <c r="M14" s="17">
        <f>SUM(S14,AK14)</f>
        <v>6124959.4923999319</v>
      </c>
      <c r="N14" s="21">
        <v>750865</v>
      </c>
      <c r="O14" s="21">
        <v>0</v>
      </c>
      <c r="P14" s="21">
        <v>0</v>
      </c>
      <c r="Q14" s="21">
        <v>0</v>
      </c>
      <c r="R14" s="21">
        <v>29564.824602118952</v>
      </c>
      <c r="S14" s="17">
        <f t="shared" si="6"/>
        <v>780429.82460211893</v>
      </c>
      <c r="T14" s="21">
        <v>0</v>
      </c>
      <c r="U14" s="21">
        <v>267209.87534967042</v>
      </c>
      <c r="V14" s="21">
        <v>332455.95232302672</v>
      </c>
      <c r="W14" s="21" t="s">
        <v>101</v>
      </c>
      <c r="X14" s="17">
        <f t="shared" si="7"/>
        <v>599665.82767269714</v>
      </c>
      <c r="Y14" s="20">
        <v>101897.90842302186</v>
      </c>
      <c r="Z14" s="20">
        <v>422294.58484148554</v>
      </c>
      <c r="AA14" s="20">
        <v>1137241.9417887332</v>
      </c>
      <c r="AB14" s="20">
        <v>0</v>
      </c>
      <c r="AC14" s="20">
        <v>0</v>
      </c>
      <c r="AD14" s="20">
        <v>727113.85082533886</v>
      </c>
      <c r="AE14" s="20">
        <v>0</v>
      </c>
      <c r="AF14" s="20">
        <v>2337602.7941628722</v>
      </c>
      <c r="AG14" s="20">
        <v>18712.760083665173</v>
      </c>
      <c r="AH14" s="20">
        <v>0</v>
      </c>
      <c r="AI14" s="20">
        <v>0</v>
      </c>
      <c r="AJ14" s="34">
        <f t="shared" si="4"/>
        <v>4744863.8401251165</v>
      </c>
      <c r="AK14" s="17">
        <f t="shared" si="5"/>
        <v>5344529.6677978132</v>
      </c>
      <c r="AL14" s="21">
        <v>0</v>
      </c>
    </row>
    <row r="15" spans="1:38" s="1" customFormat="1" ht="12.95">
      <c r="A15" s="1" t="s">
        <v>95</v>
      </c>
      <c r="B15" s="6" t="s">
        <v>102</v>
      </c>
      <c r="C15" s="6" t="str">
        <f t="shared" si="0"/>
        <v/>
      </c>
      <c r="D15" s="18">
        <f t="shared" si="1"/>
        <v>7.537510700250065E-6</v>
      </c>
      <c r="E15" s="17">
        <f>L15-M15</f>
        <v>8.3127964383456856</v>
      </c>
      <c r="F15" s="1" t="s">
        <v>97</v>
      </c>
      <c r="G15" s="1" t="s">
        <v>98</v>
      </c>
      <c r="H15" s="1" t="s">
        <v>99</v>
      </c>
      <c r="I15" s="32"/>
      <c r="J15" s="33" t="s">
        <v>68</v>
      </c>
      <c r="K15" s="33" t="s">
        <v>68</v>
      </c>
      <c r="L15" s="17">
        <v>1102857</v>
      </c>
      <c r="M15" s="17">
        <f>SUM(S15,AK15)</f>
        <v>1102848.6872035617</v>
      </c>
      <c r="N15" s="21">
        <v>0</v>
      </c>
      <c r="O15" s="21">
        <v>0</v>
      </c>
      <c r="P15" s="21">
        <v>0</v>
      </c>
      <c r="Q15" s="21">
        <v>0</v>
      </c>
      <c r="R15" s="21">
        <v>6067.1668587073273</v>
      </c>
      <c r="S15" s="17">
        <f t="shared" si="6"/>
        <v>6067.1668587073273</v>
      </c>
      <c r="T15" s="21">
        <v>0</v>
      </c>
      <c r="U15" s="21">
        <v>54835.66778625983</v>
      </c>
      <c r="V15" s="21">
        <v>68225.18865103244</v>
      </c>
      <c r="W15" s="21" t="s">
        <v>101</v>
      </c>
      <c r="X15" s="17">
        <f t="shared" si="7"/>
        <v>123060.85643729227</v>
      </c>
      <c r="Y15" s="20">
        <v>20911.052958232089</v>
      </c>
      <c r="Z15" s="20">
        <v>86661.48858458639</v>
      </c>
      <c r="AA15" s="20">
        <v>233379.92741069899</v>
      </c>
      <c r="AB15" s="20">
        <v>0</v>
      </c>
      <c r="AC15" s="20">
        <v>0</v>
      </c>
      <c r="AD15" s="20">
        <v>149215.19466475639</v>
      </c>
      <c r="AE15" s="20">
        <v>0</v>
      </c>
      <c r="AF15" s="20">
        <v>479712.84769773792</v>
      </c>
      <c r="AG15" s="20">
        <v>3840.1525915502161</v>
      </c>
      <c r="AH15" s="20">
        <v>0</v>
      </c>
      <c r="AI15" s="20">
        <v>0</v>
      </c>
      <c r="AJ15" s="34">
        <f t="shared" si="4"/>
        <v>973720.66390756215</v>
      </c>
      <c r="AK15" s="17">
        <f t="shared" si="5"/>
        <v>1096781.5203448543</v>
      </c>
      <c r="AL15" s="21">
        <v>0</v>
      </c>
    </row>
    <row r="16" spans="1:38" s="1" customFormat="1" ht="12.95">
      <c r="A16" s="1" t="s">
        <v>95</v>
      </c>
      <c r="B16" s="6" t="s">
        <v>103</v>
      </c>
      <c r="C16" s="6" t="str">
        <f t="shared" si="0"/>
        <v/>
      </c>
      <c r="D16" s="18">
        <f t="shared" si="1"/>
        <v>7.2044136450992785E-6</v>
      </c>
      <c r="E16" s="17">
        <f>L16-M16</f>
        <v>40.756398221477866</v>
      </c>
      <c r="F16" s="1" t="s">
        <v>97</v>
      </c>
      <c r="G16" s="1" t="s">
        <v>98</v>
      </c>
      <c r="H16" s="1" t="s">
        <v>99</v>
      </c>
      <c r="I16" s="32"/>
      <c r="J16" s="33" t="s">
        <v>68</v>
      </c>
      <c r="K16" s="33" t="s">
        <v>68</v>
      </c>
      <c r="L16" s="17">
        <v>5657143</v>
      </c>
      <c r="M16" s="17">
        <f>SUM(S16,AK16)</f>
        <v>5657102.2436017785</v>
      </c>
      <c r="N16" s="21">
        <v>0</v>
      </c>
      <c r="O16" s="21">
        <v>250000</v>
      </c>
      <c r="P16" s="21">
        <v>0</v>
      </c>
      <c r="Q16" s="21">
        <v>0</v>
      </c>
      <c r="R16" s="21">
        <v>29746.412100472964</v>
      </c>
      <c r="S16" s="17">
        <f t="shared" si="6"/>
        <v>279746.41210047295</v>
      </c>
      <c r="T16" s="21">
        <v>0</v>
      </c>
      <c r="U16" s="21">
        <v>268851.08152806782</v>
      </c>
      <c r="V16" s="21">
        <v>334497.90066899831</v>
      </c>
      <c r="W16" s="21" t="s">
        <v>101</v>
      </c>
      <c r="X16" s="17">
        <f t="shared" si="7"/>
        <v>603348.98219706607</v>
      </c>
      <c r="Y16" s="20">
        <v>102523.7665678632</v>
      </c>
      <c r="Z16" s="20">
        <v>424888.32311870548</v>
      </c>
      <c r="AA16" s="20">
        <v>1144226.8950909039</v>
      </c>
      <c r="AB16" s="20">
        <v>0</v>
      </c>
      <c r="AC16" s="20">
        <v>0</v>
      </c>
      <c r="AD16" s="20">
        <v>731579.7925979296</v>
      </c>
      <c r="AE16" s="20">
        <v>0</v>
      </c>
      <c r="AF16" s="20">
        <v>2351960.377853964</v>
      </c>
      <c r="AG16" s="20">
        <v>18827.694074873358</v>
      </c>
      <c r="AH16" s="20">
        <v>0</v>
      </c>
      <c r="AI16" s="20">
        <v>0</v>
      </c>
      <c r="AJ16" s="34">
        <f t="shared" si="4"/>
        <v>4774006.8493042393</v>
      </c>
      <c r="AK16" s="17">
        <f t="shared" si="5"/>
        <v>5377355.8315013051</v>
      </c>
      <c r="AL16" s="21">
        <v>0</v>
      </c>
    </row>
    <row r="17" spans="1:38" s="1" customFormat="1" ht="12.95">
      <c r="A17" s="1" t="s">
        <v>95</v>
      </c>
      <c r="B17" s="6" t="s">
        <v>104</v>
      </c>
      <c r="C17" s="6" t="str">
        <f t="shared" si="0"/>
        <v/>
      </c>
      <c r="D17" s="18">
        <f t="shared" si="1"/>
        <v>7.5375107003349233E-6</v>
      </c>
      <c r="E17" s="17">
        <f>L17-M17</f>
        <v>8.0759075521491468</v>
      </c>
      <c r="F17" s="1" t="s">
        <v>97</v>
      </c>
      <c r="G17" s="1" t="s">
        <v>98</v>
      </c>
      <c r="H17" s="1" t="s">
        <v>99</v>
      </c>
      <c r="I17" s="32"/>
      <c r="J17" s="33" t="s">
        <v>68</v>
      </c>
      <c r="K17" s="33" t="s">
        <v>68</v>
      </c>
      <c r="L17" s="17">
        <v>1071429</v>
      </c>
      <c r="M17" s="17">
        <f>SUM(S17,AK17)</f>
        <v>1071420.9240924479</v>
      </c>
      <c r="N17" s="21">
        <v>0</v>
      </c>
      <c r="O17" s="21">
        <v>0</v>
      </c>
      <c r="P17" s="21">
        <v>0</v>
      </c>
      <c r="Q17" s="21">
        <v>0</v>
      </c>
      <c r="R17" s="21">
        <v>5894.2714424970172</v>
      </c>
      <c r="S17" s="17">
        <f t="shared" si="6"/>
        <v>5894.2714424970172</v>
      </c>
      <c r="T17" s="21">
        <v>0</v>
      </c>
      <c r="U17" s="21">
        <v>53273.02152551472</v>
      </c>
      <c r="V17" s="21">
        <v>66280.982621669944</v>
      </c>
      <c r="W17" s="21" t="s">
        <v>101</v>
      </c>
      <c r="X17" s="17">
        <f t="shared" si="7"/>
        <v>119554.00414718466</v>
      </c>
      <c r="Y17" s="20">
        <v>20315.15288018814</v>
      </c>
      <c r="Z17" s="20">
        <v>84191.90525398562</v>
      </c>
      <c r="AA17" s="20">
        <v>226729.32415147009</v>
      </c>
      <c r="AB17" s="20">
        <v>0</v>
      </c>
      <c r="AC17" s="20">
        <v>0</v>
      </c>
      <c r="AD17" s="20">
        <v>144963.02494744587</v>
      </c>
      <c r="AE17" s="20">
        <v>0</v>
      </c>
      <c r="AF17" s="20">
        <v>466042.52110286255</v>
      </c>
      <c r="AG17" s="20">
        <v>3730.7201668140628</v>
      </c>
      <c r="AH17" s="20">
        <v>0</v>
      </c>
      <c r="AI17" s="20">
        <v>0</v>
      </c>
      <c r="AJ17" s="34">
        <f t="shared" si="4"/>
        <v>945972.64850276627</v>
      </c>
      <c r="AK17" s="17">
        <f t="shared" si="5"/>
        <v>1065526.6526499509</v>
      </c>
      <c r="AL17" s="21">
        <v>0</v>
      </c>
    </row>
    <row r="18" spans="1:38" s="1" customFormat="1" ht="12.95">
      <c r="A18" s="1" t="s">
        <v>95</v>
      </c>
      <c r="B18" s="6" t="s">
        <v>105</v>
      </c>
      <c r="C18" s="6" t="str">
        <f t="shared" si="0"/>
        <v/>
      </c>
      <c r="D18" s="18">
        <f t="shared" si="1"/>
        <v>7.5375107002312363E-6</v>
      </c>
      <c r="E18" s="17">
        <f>L18-M18</f>
        <v>9.2172977223526686</v>
      </c>
      <c r="F18" s="1" t="s">
        <v>97</v>
      </c>
      <c r="G18" s="1" t="s">
        <v>98</v>
      </c>
      <c r="H18" s="1" t="s">
        <v>99</v>
      </c>
      <c r="I18" s="32"/>
      <c r="J18" s="33" t="s">
        <v>68</v>
      </c>
      <c r="K18" s="33" t="s">
        <v>68</v>
      </c>
      <c r="L18" s="17">
        <v>1222857</v>
      </c>
      <c r="M18" s="17">
        <f>SUM(S18,AK18)</f>
        <v>1222847.7827022776</v>
      </c>
      <c r="N18" s="21">
        <v>0</v>
      </c>
      <c r="O18" s="21">
        <v>0</v>
      </c>
      <c r="P18" s="21">
        <v>0</v>
      </c>
      <c r="Q18" s="21">
        <v>0</v>
      </c>
      <c r="R18" s="21">
        <v>6727.324996203738</v>
      </c>
      <c r="S18" s="17">
        <f t="shared" si="6"/>
        <v>6727.324996203738</v>
      </c>
      <c r="T18" s="21">
        <v>0</v>
      </c>
      <c r="U18" s="21">
        <v>60802.243810487074</v>
      </c>
      <c r="V18" s="21">
        <v>75648.655735272652</v>
      </c>
      <c r="W18" s="21" t="s">
        <v>101</v>
      </c>
      <c r="X18" s="17">
        <f t="shared" si="7"/>
        <v>136450.89954575972</v>
      </c>
      <c r="Y18" s="20">
        <v>23186.349170694677</v>
      </c>
      <c r="Z18" s="20">
        <v>96090.978201236954</v>
      </c>
      <c r="AA18" s="20">
        <v>258773.60155819403</v>
      </c>
      <c r="AB18" s="20">
        <v>0</v>
      </c>
      <c r="AC18" s="20">
        <v>0</v>
      </c>
      <c r="AD18" s="20">
        <v>165451.04696452944</v>
      </c>
      <c r="AE18" s="20">
        <v>0</v>
      </c>
      <c r="AF18" s="20">
        <v>531909.58918256196</v>
      </c>
      <c r="AG18" s="20">
        <v>4257.9930830971953</v>
      </c>
      <c r="AH18" s="20">
        <v>0</v>
      </c>
      <c r="AI18" s="20">
        <v>0</v>
      </c>
      <c r="AJ18" s="34">
        <f t="shared" si="4"/>
        <v>1079669.5581603143</v>
      </c>
      <c r="AK18" s="17">
        <f t="shared" si="5"/>
        <v>1216120.457706074</v>
      </c>
      <c r="AL18" s="21">
        <v>0</v>
      </c>
    </row>
    <row r="19" spans="1:38" s="1" customFormat="1" ht="12.95">
      <c r="A19" s="1" t="s">
        <v>106</v>
      </c>
      <c r="B19" s="6" t="s">
        <v>107</v>
      </c>
      <c r="C19" s="6" t="str">
        <f t="shared" si="0"/>
        <v/>
      </c>
      <c r="D19" s="18">
        <f t="shared" si="1"/>
        <v>3.0664000000059606E-6</v>
      </c>
      <c r="E19" s="17">
        <f>L19-M19</f>
        <v>38.330000000074506</v>
      </c>
      <c r="F19" s="1" t="s">
        <v>108</v>
      </c>
      <c r="G19" s="1" t="s">
        <v>109</v>
      </c>
      <c r="H19" s="1" t="s">
        <v>99</v>
      </c>
      <c r="I19" s="32" t="s">
        <v>110</v>
      </c>
      <c r="J19" s="33" t="s">
        <v>68</v>
      </c>
      <c r="K19" s="33" t="s">
        <v>68</v>
      </c>
      <c r="L19" s="17">
        <v>12500000</v>
      </c>
      <c r="M19" s="17">
        <f>SUM(S19,AK19)</f>
        <v>12499961.67</v>
      </c>
      <c r="N19" s="21">
        <v>0</v>
      </c>
      <c r="O19" s="21">
        <v>0</v>
      </c>
      <c r="P19" s="21">
        <v>0</v>
      </c>
      <c r="Q19" s="21">
        <v>0</v>
      </c>
      <c r="R19" s="21">
        <v>0</v>
      </c>
      <c r="S19" s="17">
        <f t="shared" si="6"/>
        <v>0</v>
      </c>
      <c r="T19" s="21">
        <v>2027026.8900000001</v>
      </c>
      <c r="U19" s="21">
        <v>0</v>
      </c>
      <c r="V19" s="21">
        <v>2056818.96</v>
      </c>
      <c r="W19" s="21" t="s">
        <v>111</v>
      </c>
      <c r="X19" s="17">
        <f t="shared" si="7"/>
        <v>4083845.85</v>
      </c>
      <c r="Y19" s="20">
        <v>0</v>
      </c>
      <c r="Z19" s="20">
        <v>2230962.2999999998</v>
      </c>
      <c r="AA19" s="20">
        <v>1904241.15</v>
      </c>
      <c r="AB19" s="20">
        <v>2425060.2599999998</v>
      </c>
      <c r="AC19" s="20">
        <v>0</v>
      </c>
      <c r="AD19" s="20">
        <v>1414851.48</v>
      </c>
      <c r="AE19" s="20">
        <v>0</v>
      </c>
      <c r="AF19" s="20">
        <v>441000.63</v>
      </c>
      <c r="AG19" s="20">
        <v>0</v>
      </c>
      <c r="AH19" s="20">
        <v>0</v>
      </c>
      <c r="AI19" s="20">
        <v>0</v>
      </c>
      <c r="AJ19" s="34">
        <f t="shared" si="4"/>
        <v>8416115.8200000003</v>
      </c>
      <c r="AK19" s="17">
        <f t="shared" si="5"/>
        <v>12499961.67</v>
      </c>
      <c r="AL19" s="21">
        <v>0</v>
      </c>
    </row>
    <row r="20" spans="1:38" s="1" customFormat="1" ht="12.95">
      <c r="A20" s="1" t="s">
        <v>112</v>
      </c>
      <c r="B20" s="6" t="s">
        <v>113</v>
      </c>
      <c r="C20" s="6" t="str">
        <f t="shared" si="0"/>
        <v/>
      </c>
      <c r="D20" s="18">
        <f t="shared" si="1"/>
        <v>1.2760237347334624E-6</v>
      </c>
      <c r="E20" s="17">
        <f>L20-M20</f>
        <v>76.56142408400774</v>
      </c>
      <c r="F20" s="1" t="s">
        <v>114</v>
      </c>
      <c r="G20" s="1" t="s">
        <v>115</v>
      </c>
      <c r="H20" s="1" t="s">
        <v>116</v>
      </c>
      <c r="I20" s="32" t="s">
        <v>117</v>
      </c>
      <c r="J20" s="33" t="s">
        <v>68</v>
      </c>
      <c r="K20" s="33" t="s">
        <v>68</v>
      </c>
      <c r="L20" s="17">
        <v>60000000</v>
      </c>
      <c r="M20" s="17">
        <f>SUM(S20,AK20)</f>
        <v>59999923.438575916</v>
      </c>
      <c r="N20" s="21">
        <v>0</v>
      </c>
      <c r="O20" s="21">
        <v>0</v>
      </c>
      <c r="P20" s="21">
        <v>8000000</v>
      </c>
      <c r="Q20" s="21">
        <v>0</v>
      </c>
      <c r="R20" s="21">
        <v>0</v>
      </c>
      <c r="S20" s="17">
        <f t="shared" si="6"/>
        <v>8000000</v>
      </c>
      <c r="T20" s="21">
        <v>33036350.324607328</v>
      </c>
      <c r="U20" s="21">
        <v>2622859.3176125651</v>
      </c>
      <c r="V20" s="21">
        <v>0</v>
      </c>
      <c r="W20" s="21"/>
      <c r="X20" s="17">
        <f t="shared" si="7"/>
        <v>35659209.642219894</v>
      </c>
      <c r="Y20" s="20">
        <v>14242269.149151832</v>
      </c>
      <c r="Z20" s="20">
        <v>1573833.485403141</v>
      </c>
      <c r="AA20" s="20">
        <v>524611.16180104704</v>
      </c>
      <c r="AB20" s="20">
        <v>0</v>
      </c>
      <c r="AC20" s="20">
        <v>0</v>
      </c>
      <c r="AD20" s="20">
        <v>0</v>
      </c>
      <c r="AE20" s="20">
        <v>0</v>
      </c>
      <c r="AF20" s="20">
        <v>0</v>
      </c>
      <c r="AG20" s="20">
        <v>0</v>
      </c>
      <c r="AH20" s="20">
        <v>0</v>
      </c>
      <c r="AI20" s="20">
        <v>0</v>
      </c>
      <c r="AJ20" s="34">
        <f t="shared" si="4"/>
        <v>16340713.79635602</v>
      </c>
      <c r="AK20" s="17">
        <f t="shared" si="5"/>
        <v>51999923.438575916</v>
      </c>
      <c r="AL20" s="21">
        <v>0</v>
      </c>
    </row>
    <row r="21" spans="1:38" s="1" customFormat="1" ht="12.95">
      <c r="A21" s="1" t="s">
        <v>112</v>
      </c>
      <c r="B21" s="6" t="s">
        <v>118</v>
      </c>
      <c r="C21" s="6" t="str">
        <f t="shared" si="0"/>
        <v/>
      </c>
      <c r="D21" s="18">
        <f t="shared" si="1"/>
        <v>1.4723350784885206E-6</v>
      </c>
      <c r="E21" s="17">
        <f>L21-M21</f>
        <v>11.318575915880501</v>
      </c>
      <c r="F21" s="1" t="s">
        <v>114</v>
      </c>
      <c r="G21" s="1" t="s">
        <v>115</v>
      </c>
      <c r="H21" s="1" t="s">
        <v>116</v>
      </c>
      <c r="I21" s="32"/>
      <c r="J21" s="33" t="s">
        <v>68</v>
      </c>
      <c r="K21" s="33" t="s">
        <v>68</v>
      </c>
      <c r="L21" s="17">
        <v>7687500</v>
      </c>
      <c r="M21" s="17">
        <f>SUM(S21,AK21)</f>
        <v>7687488.6814240841</v>
      </c>
      <c r="N21" s="21">
        <v>0</v>
      </c>
      <c r="O21" s="21">
        <v>0</v>
      </c>
      <c r="P21" s="21">
        <v>0</v>
      </c>
      <c r="Q21" s="21">
        <v>0</v>
      </c>
      <c r="R21" s="21">
        <v>0</v>
      </c>
      <c r="S21" s="17">
        <f t="shared" si="6"/>
        <v>0</v>
      </c>
      <c r="T21" s="21">
        <v>4883979.6753926706</v>
      </c>
      <c r="U21" s="21">
        <v>387754.44238743454</v>
      </c>
      <c r="V21" s="21">
        <v>0</v>
      </c>
      <c r="W21" s="21"/>
      <c r="X21" s="17">
        <f t="shared" si="7"/>
        <v>5271734.1177801052</v>
      </c>
      <c r="Y21" s="20">
        <v>2105527.7708481676</v>
      </c>
      <c r="Z21" s="20">
        <v>232670.0945968586</v>
      </c>
      <c r="AA21" s="20">
        <v>77556.698198952872</v>
      </c>
      <c r="AB21" s="20">
        <v>0</v>
      </c>
      <c r="AC21" s="20">
        <v>0</v>
      </c>
      <c r="AD21" s="20">
        <v>0</v>
      </c>
      <c r="AE21" s="20">
        <v>0</v>
      </c>
      <c r="AF21" s="20">
        <v>0</v>
      </c>
      <c r="AG21" s="20">
        <v>0</v>
      </c>
      <c r="AH21" s="20">
        <v>0</v>
      </c>
      <c r="AI21" s="20">
        <v>0</v>
      </c>
      <c r="AJ21" s="34">
        <f t="shared" si="4"/>
        <v>2415754.5636439789</v>
      </c>
      <c r="AK21" s="17">
        <f t="shared" si="5"/>
        <v>7687488.6814240841</v>
      </c>
      <c r="AL21" s="21">
        <v>0</v>
      </c>
    </row>
    <row r="22" spans="1:38" s="1" customFormat="1" ht="12.95">
      <c r="A22" s="1" t="s">
        <v>119</v>
      </c>
      <c r="B22" s="6" t="s">
        <v>120</v>
      </c>
      <c r="C22" s="6" t="str">
        <f t="shared" si="0"/>
        <v/>
      </c>
      <c r="D22" s="18">
        <f t="shared" si="1"/>
        <v>1.6471101458851748E-6</v>
      </c>
      <c r="E22" s="17">
        <f>L22-M22</f>
        <v>6.0809008292853832</v>
      </c>
      <c r="F22" s="1" t="s">
        <v>73</v>
      </c>
      <c r="G22" s="1" t="s">
        <v>74</v>
      </c>
      <c r="H22" s="35" t="s">
        <v>67</v>
      </c>
      <c r="I22" s="32"/>
      <c r="J22" s="33" t="s">
        <v>68</v>
      </c>
      <c r="K22" s="33" t="s">
        <v>68</v>
      </c>
      <c r="L22" s="17">
        <v>3691860.4651162787</v>
      </c>
      <c r="M22" s="17">
        <f>SUM(S22,AK22)</f>
        <v>3691854.3842154494</v>
      </c>
      <c r="N22" s="21">
        <v>0</v>
      </c>
      <c r="O22" s="21">
        <v>0</v>
      </c>
      <c r="P22" s="21">
        <v>0</v>
      </c>
      <c r="Q22" s="21">
        <v>0</v>
      </c>
      <c r="R22" s="21">
        <v>20469.697334882359</v>
      </c>
      <c r="S22" s="17">
        <f t="shared" si="6"/>
        <v>20469.697334882359</v>
      </c>
      <c r="T22" s="21">
        <v>146954.89769823948</v>
      </c>
      <c r="U22" s="21">
        <v>183622.34576020573</v>
      </c>
      <c r="V22" s="21">
        <v>18477.960923387789</v>
      </c>
      <c r="W22" s="21" t="s">
        <v>69</v>
      </c>
      <c r="X22" s="17">
        <f t="shared" si="7"/>
        <v>349055.20438183297</v>
      </c>
      <c r="Y22" s="20">
        <v>477245.11094377603</v>
      </c>
      <c r="Z22" s="20">
        <v>2276026.4035638617</v>
      </c>
      <c r="AA22" s="20">
        <v>569057.96799109632</v>
      </c>
      <c r="AB22" s="20">
        <v>0</v>
      </c>
      <c r="AC22" s="20">
        <v>0</v>
      </c>
      <c r="AD22" s="20">
        <v>0</v>
      </c>
      <c r="AE22" s="20">
        <v>0</v>
      </c>
      <c r="AF22" s="20">
        <v>0</v>
      </c>
      <c r="AG22" s="20">
        <v>0</v>
      </c>
      <c r="AH22" s="20">
        <v>0</v>
      </c>
      <c r="AI22" s="20">
        <v>0</v>
      </c>
      <c r="AJ22" s="34">
        <f t="shared" si="4"/>
        <v>3322329.4824987343</v>
      </c>
      <c r="AK22" s="17">
        <f t="shared" si="5"/>
        <v>3671384.6868805671</v>
      </c>
      <c r="AL22" s="21">
        <v>0</v>
      </c>
    </row>
    <row r="23" spans="1:38" s="1" customFormat="1" ht="12.95">
      <c r="A23" s="1" t="s">
        <v>119</v>
      </c>
      <c r="B23" s="6" t="s">
        <v>121</v>
      </c>
      <c r="C23" s="6" t="str">
        <f t="shared" si="0"/>
        <v/>
      </c>
      <c r="D23" s="18">
        <f t="shared" si="1"/>
        <v>7.4422722963073598E-7</v>
      </c>
      <c r="E23" s="17">
        <f>L23-M23</f>
        <v>2.7475830861367285</v>
      </c>
      <c r="F23" s="1" t="s">
        <v>73</v>
      </c>
      <c r="G23" s="1" t="s">
        <v>74</v>
      </c>
      <c r="H23" s="35" t="s">
        <v>67</v>
      </c>
      <c r="I23" s="32"/>
      <c r="J23" s="33" t="s">
        <v>68</v>
      </c>
      <c r="K23" s="33" t="s">
        <v>68</v>
      </c>
      <c r="L23" s="17">
        <v>3691860.4651162787</v>
      </c>
      <c r="M23" s="17">
        <f>SUM(S23,AK23)</f>
        <v>3691857.7175331926</v>
      </c>
      <c r="N23" s="21">
        <v>2023737</v>
      </c>
      <c r="O23" s="21">
        <v>0</v>
      </c>
      <c r="P23" s="21">
        <v>0</v>
      </c>
      <c r="Q23" s="21">
        <v>0</v>
      </c>
      <c r="R23" s="21">
        <v>9248.9891077548891</v>
      </c>
      <c r="S23" s="17">
        <f t="shared" si="6"/>
        <v>2032985.9891077548</v>
      </c>
      <c r="T23" s="21">
        <v>66399.831653814443</v>
      </c>
      <c r="U23" s="21">
        <v>82967.584186220934</v>
      </c>
      <c r="V23" s="21">
        <v>8349.0479993264598</v>
      </c>
      <c r="W23" s="21" t="s">
        <v>69</v>
      </c>
      <c r="X23" s="17">
        <f t="shared" si="7"/>
        <v>157716.46383936182</v>
      </c>
      <c r="Y23" s="20">
        <v>215637.55628848536</v>
      </c>
      <c r="Z23" s="20">
        <v>1028395.5989449657</v>
      </c>
      <c r="AA23" s="20">
        <v>257122.10935262477</v>
      </c>
      <c r="AB23" s="20">
        <v>0</v>
      </c>
      <c r="AC23" s="20">
        <v>0</v>
      </c>
      <c r="AD23" s="20">
        <v>0</v>
      </c>
      <c r="AE23" s="20">
        <v>0</v>
      </c>
      <c r="AF23" s="20">
        <v>0</v>
      </c>
      <c r="AG23" s="20">
        <v>0</v>
      </c>
      <c r="AH23" s="20">
        <v>0</v>
      </c>
      <c r="AI23" s="20">
        <v>0</v>
      </c>
      <c r="AJ23" s="34">
        <f t="shared" si="4"/>
        <v>1501155.2645860759</v>
      </c>
      <c r="AK23" s="17">
        <f t="shared" si="5"/>
        <v>1658871.7284254378</v>
      </c>
      <c r="AL23" s="21">
        <v>0</v>
      </c>
    </row>
    <row r="24" spans="1:38" s="1" customFormat="1" ht="12.95">
      <c r="A24" s="1" t="s">
        <v>119</v>
      </c>
      <c r="B24" s="6" t="s">
        <v>122</v>
      </c>
      <c r="C24" s="6" t="str">
        <f t="shared" si="0"/>
        <v/>
      </c>
      <c r="D24" s="18">
        <f t="shared" si="1"/>
        <v>1.6471101458851748E-6</v>
      </c>
      <c r="E24" s="17">
        <f>L24-M24</f>
        <v>3.0404504146426916</v>
      </c>
      <c r="F24" s="1" t="s">
        <v>73</v>
      </c>
      <c r="G24" s="1" t="s">
        <v>74</v>
      </c>
      <c r="H24" s="35" t="s">
        <v>67</v>
      </c>
      <c r="I24" s="32"/>
      <c r="J24" s="33" t="s">
        <v>68</v>
      </c>
      <c r="K24" s="33" t="s">
        <v>68</v>
      </c>
      <c r="L24" s="17">
        <v>1845930.2325581394</v>
      </c>
      <c r="M24" s="17">
        <f>SUM(S24,AK24)</f>
        <v>1845927.1921077247</v>
      </c>
      <c r="N24" s="21">
        <v>0</v>
      </c>
      <c r="O24" s="21">
        <v>0</v>
      </c>
      <c r="P24" s="21">
        <v>0</v>
      </c>
      <c r="Q24" s="21">
        <v>0</v>
      </c>
      <c r="R24" s="21">
        <v>10234.84866744118</v>
      </c>
      <c r="S24" s="17">
        <f t="shared" si="6"/>
        <v>10234.84866744118</v>
      </c>
      <c r="T24" s="21">
        <v>73477.448849119741</v>
      </c>
      <c r="U24" s="21">
        <v>91811.172880102866</v>
      </c>
      <c r="V24" s="21">
        <v>9238.9804616938945</v>
      </c>
      <c r="W24" s="21" t="s">
        <v>69</v>
      </c>
      <c r="X24" s="17">
        <f t="shared" si="7"/>
        <v>174527.60219091648</v>
      </c>
      <c r="Y24" s="20">
        <v>238622.55547188802</v>
      </c>
      <c r="Z24" s="20">
        <v>1138013.2017819309</v>
      </c>
      <c r="AA24" s="20">
        <v>284528.98399554816</v>
      </c>
      <c r="AB24" s="20">
        <v>0</v>
      </c>
      <c r="AC24" s="20">
        <v>0</v>
      </c>
      <c r="AD24" s="20">
        <v>0</v>
      </c>
      <c r="AE24" s="20">
        <v>0</v>
      </c>
      <c r="AF24" s="20">
        <v>0</v>
      </c>
      <c r="AG24" s="20">
        <v>0</v>
      </c>
      <c r="AH24" s="20">
        <v>0</v>
      </c>
      <c r="AI24" s="20">
        <v>0</v>
      </c>
      <c r="AJ24" s="34">
        <f t="shared" si="4"/>
        <v>1661164.7412493671</v>
      </c>
      <c r="AK24" s="17">
        <f t="shared" si="5"/>
        <v>1835692.3434402836</v>
      </c>
      <c r="AL24" s="21">
        <v>0</v>
      </c>
    </row>
    <row r="25" spans="1:38" s="1" customFormat="1" ht="12.95">
      <c r="A25" s="1" t="s">
        <v>119</v>
      </c>
      <c r="B25" s="6" t="s">
        <v>123</v>
      </c>
      <c r="C25" s="6" t="str">
        <f t="shared" si="0"/>
        <v/>
      </c>
      <c r="D25" s="18">
        <f t="shared" si="1"/>
        <v>1.6471101457590429E-6</v>
      </c>
      <c r="E25" s="17">
        <f>L25-M25</f>
        <v>4.0539338858798146</v>
      </c>
      <c r="F25" s="1" t="s">
        <v>73</v>
      </c>
      <c r="G25" s="1" t="s">
        <v>74</v>
      </c>
      <c r="H25" s="35" t="s">
        <v>67</v>
      </c>
      <c r="I25" s="32"/>
      <c r="J25" s="33" t="s">
        <v>68</v>
      </c>
      <c r="K25" s="33" t="s">
        <v>68</v>
      </c>
      <c r="L25" s="17">
        <v>2461240.3100775192</v>
      </c>
      <c r="M25" s="17">
        <f>SUM(S25,AK25)</f>
        <v>2461236.2561436333</v>
      </c>
      <c r="N25" s="21">
        <v>0</v>
      </c>
      <c r="O25" s="21">
        <v>0</v>
      </c>
      <c r="P25" s="21">
        <v>0</v>
      </c>
      <c r="Q25" s="21">
        <v>0</v>
      </c>
      <c r="R25" s="21">
        <v>13646.464889921574</v>
      </c>
      <c r="S25" s="17">
        <f t="shared" si="6"/>
        <v>13646.464889921574</v>
      </c>
      <c r="T25" s="21">
        <v>97969.931798826336</v>
      </c>
      <c r="U25" s="21">
        <v>122414.8971734705</v>
      </c>
      <c r="V25" s="21">
        <v>12318.640615591861</v>
      </c>
      <c r="W25" s="21" t="s">
        <v>69</v>
      </c>
      <c r="X25" s="17">
        <f t="shared" si="7"/>
        <v>232703.46958788871</v>
      </c>
      <c r="Y25" s="20">
        <v>318163.40729585075</v>
      </c>
      <c r="Z25" s="20">
        <v>1517350.9357092413</v>
      </c>
      <c r="AA25" s="20">
        <v>379371.97866073088</v>
      </c>
      <c r="AB25" s="20">
        <v>0</v>
      </c>
      <c r="AC25" s="20">
        <v>0</v>
      </c>
      <c r="AD25" s="20">
        <v>0</v>
      </c>
      <c r="AE25" s="20">
        <v>0</v>
      </c>
      <c r="AF25" s="20">
        <v>0</v>
      </c>
      <c r="AG25" s="20">
        <v>0</v>
      </c>
      <c r="AH25" s="20">
        <v>0</v>
      </c>
      <c r="AI25" s="20">
        <v>0</v>
      </c>
      <c r="AJ25" s="34">
        <f t="shared" si="4"/>
        <v>2214886.321665823</v>
      </c>
      <c r="AK25" s="17">
        <f t="shared" si="5"/>
        <v>2447589.7912537116</v>
      </c>
      <c r="AL25" s="21">
        <v>0</v>
      </c>
    </row>
    <row r="26" spans="1:38" s="1" customFormat="1" ht="12.95">
      <c r="A26" s="1" t="s">
        <v>124</v>
      </c>
      <c r="B26" s="6" t="s">
        <v>125</v>
      </c>
      <c r="C26" s="6" t="str">
        <f t="shared" si="0"/>
        <v/>
      </c>
      <c r="D26" s="18">
        <f t="shared" si="1"/>
        <v>-4.7050000000745057E-6</v>
      </c>
      <c r="E26" s="17">
        <f>L26-M26</f>
        <v>-28.230000000447035</v>
      </c>
      <c r="F26" s="1" t="s">
        <v>108</v>
      </c>
      <c r="G26" s="1" t="s">
        <v>109</v>
      </c>
      <c r="H26" s="35" t="s">
        <v>67</v>
      </c>
      <c r="I26" s="32"/>
      <c r="J26" s="33" t="s">
        <v>68</v>
      </c>
      <c r="K26" s="33" t="s">
        <v>68</v>
      </c>
      <c r="L26" s="17">
        <v>6000000</v>
      </c>
      <c r="M26" s="17">
        <f>SUM(S26,AK26)</f>
        <v>6000028.2300000004</v>
      </c>
      <c r="N26" s="21">
        <v>0</v>
      </c>
      <c r="O26" s="21">
        <v>0</v>
      </c>
      <c r="P26" s="21">
        <v>0</v>
      </c>
      <c r="Q26" s="21">
        <v>0</v>
      </c>
      <c r="R26" s="21">
        <v>33600</v>
      </c>
      <c r="S26" s="17">
        <f t="shared" si="6"/>
        <v>33600</v>
      </c>
      <c r="T26" s="21">
        <v>0</v>
      </c>
      <c r="U26" s="21">
        <v>298313.82</v>
      </c>
      <c r="V26" s="21">
        <v>29862</v>
      </c>
      <c r="W26" s="21" t="s">
        <v>69</v>
      </c>
      <c r="X26" s="17">
        <f t="shared" si="7"/>
        <v>328175.82</v>
      </c>
      <c r="Y26" s="20">
        <v>954602.46000000008</v>
      </c>
      <c r="Z26" s="20">
        <v>1760046.7500000002</v>
      </c>
      <c r="AA26" s="20">
        <v>2923603.1999999993</v>
      </c>
      <c r="AB26" s="20">
        <v>0</v>
      </c>
      <c r="AC26" s="20">
        <v>0</v>
      </c>
      <c r="AD26" s="20">
        <v>0</v>
      </c>
      <c r="AE26" s="20">
        <v>0</v>
      </c>
      <c r="AF26" s="20">
        <v>0</v>
      </c>
      <c r="AG26" s="20">
        <v>0</v>
      </c>
      <c r="AH26" s="20">
        <v>0</v>
      </c>
      <c r="AI26" s="20">
        <v>0</v>
      </c>
      <c r="AJ26" s="34">
        <f t="shared" si="4"/>
        <v>5638252.4100000001</v>
      </c>
      <c r="AK26" s="17">
        <f t="shared" si="5"/>
        <v>5966428.2300000004</v>
      </c>
      <c r="AL26" s="21">
        <v>0</v>
      </c>
    </row>
    <row r="27" spans="1:38" s="1" customFormat="1" ht="12.95">
      <c r="A27" s="1" t="s">
        <v>126</v>
      </c>
      <c r="B27" s="6" t="s">
        <v>126</v>
      </c>
      <c r="C27" s="6" t="str">
        <f t="shared" si="0"/>
        <v/>
      </c>
      <c r="D27" s="18">
        <f t="shared" si="1"/>
        <v>9.6074000000953676E-7</v>
      </c>
      <c r="E27" s="17">
        <f>L27-M27</f>
        <v>24.018500000238419</v>
      </c>
      <c r="F27" s="1" t="s">
        <v>126</v>
      </c>
      <c r="G27" s="1" t="s">
        <v>127</v>
      </c>
      <c r="H27" s="1" t="s">
        <v>128</v>
      </c>
      <c r="I27" s="32"/>
      <c r="J27" s="33" t="s">
        <v>68</v>
      </c>
      <c r="K27" s="33" t="s">
        <v>68</v>
      </c>
      <c r="L27" s="17">
        <v>25000000</v>
      </c>
      <c r="M27" s="17">
        <f>SUM(S27,AK27)</f>
        <v>24999975.9815</v>
      </c>
      <c r="N27" s="21">
        <v>0</v>
      </c>
      <c r="O27" s="21">
        <v>1046285</v>
      </c>
      <c r="P27" s="21">
        <v>0</v>
      </c>
      <c r="Q27" s="21">
        <v>0</v>
      </c>
      <c r="R27" s="21">
        <v>132000</v>
      </c>
      <c r="S27" s="17">
        <f t="shared" si="6"/>
        <v>1178285</v>
      </c>
      <c r="T27" s="21">
        <v>785296.26000000024</v>
      </c>
      <c r="U27" s="21">
        <v>1477035.63</v>
      </c>
      <c r="V27" s="21">
        <v>1528880.85</v>
      </c>
      <c r="W27" s="21" t="s">
        <v>129</v>
      </c>
      <c r="X27" s="17">
        <f t="shared" si="7"/>
        <v>3791212.74</v>
      </c>
      <c r="Y27" s="20">
        <v>4340572.74</v>
      </c>
      <c r="Z27" s="20">
        <v>823035.15000000014</v>
      </c>
      <c r="AA27" s="20">
        <v>8217290.339999998</v>
      </c>
      <c r="AB27" s="20">
        <v>381967.11</v>
      </c>
      <c r="AC27" s="20">
        <v>243937.44</v>
      </c>
      <c r="AD27" s="20">
        <v>746429.04</v>
      </c>
      <c r="AE27" s="20">
        <v>0</v>
      </c>
      <c r="AF27" s="20">
        <v>274684.40999999997</v>
      </c>
      <c r="AG27" s="20">
        <v>18444.271500000003</v>
      </c>
      <c r="AH27" s="20">
        <v>0</v>
      </c>
      <c r="AI27" s="20">
        <v>4984117.7399999993</v>
      </c>
      <c r="AJ27" s="34">
        <f t="shared" si="4"/>
        <v>20030478.241499998</v>
      </c>
      <c r="AK27" s="17">
        <f t="shared" si="5"/>
        <v>23821690.9815</v>
      </c>
      <c r="AL27" s="21">
        <v>0</v>
      </c>
    </row>
    <row r="28" spans="1:38" s="1" customFormat="1" ht="12.95">
      <c r="A28" s="1" t="s">
        <v>130</v>
      </c>
      <c r="B28" s="6" t="s">
        <v>131</v>
      </c>
      <c r="C28" s="6" t="str">
        <f t="shared" si="0"/>
        <v/>
      </c>
      <c r="D28" s="18">
        <f t="shared" si="1"/>
        <v>7.1602532252436506E-6</v>
      </c>
      <c r="E28" s="17">
        <f>L28-M28</f>
        <v>7.1602532252436504</v>
      </c>
      <c r="F28" s="1" t="s">
        <v>97</v>
      </c>
      <c r="G28" s="1" t="s">
        <v>98</v>
      </c>
      <c r="H28" s="1" t="s">
        <v>99</v>
      </c>
      <c r="I28" s="32"/>
      <c r="J28" s="33" t="s">
        <v>68</v>
      </c>
      <c r="K28" s="33" t="s">
        <v>68</v>
      </c>
      <c r="L28" s="17">
        <v>1000000</v>
      </c>
      <c r="M28" s="17">
        <f>SUM(S28,AK28)</f>
        <v>999992.83974677476</v>
      </c>
      <c r="N28" s="21">
        <v>0</v>
      </c>
      <c r="O28" s="21">
        <v>0</v>
      </c>
      <c r="P28" s="21">
        <v>620000</v>
      </c>
      <c r="Q28" s="21">
        <v>0</v>
      </c>
      <c r="R28" s="21">
        <v>0</v>
      </c>
      <c r="S28" s="17">
        <f t="shared" si="6"/>
        <v>620000</v>
      </c>
      <c r="T28" s="21">
        <v>34514.541430099489</v>
      </c>
      <c r="U28" s="21">
        <v>16193.936743115724</v>
      </c>
      <c r="V28" s="21">
        <v>72532.968796324858</v>
      </c>
      <c r="W28" s="21" t="s">
        <v>132</v>
      </c>
      <c r="X28" s="17">
        <f t="shared" si="7"/>
        <v>123241.44696954006</v>
      </c>
      <c r="Y28" s="20">
        <v>44018.738568251923</v>
      </c>
      <c r="Z28" s="20">
        <v>34640.320375101175</v>
      </c>
      <c r="AA28" s="20">
        <v>0</v>
      </c>
      <c r="AB28" s="20">
        <v>0</v>
      </c>
      <c r="AC28" s="20">
        <v>0</v>
      </c>
      <c r="AD28" s="20">
        <v>106614.86343189087</v>
      </c>
      <c r="AE28" s="20">
        <v>0</v>
      </c>
      <c r="AF28" s="20">
        <v>71477.470401990708</v>
      </c>
      <c r="AG28" s="20">
        <v>0</v>
      </c>
      <c r="AH28" s="20">
        <v>0</v>
      </c>
      <c r="AI28" s="20">
        <v>0</v>
      </c>
      <c r="AJ28" s="34">
        <f t="shared" si="4"/>
        <v>256751.39277723467</v>
      </c>
      <c r="AK28" s="17">
        <f t="shared" si="5"/>
        <v>379992.83974677476</v>
      </c>
      <c r="AL28" s="21">
        <v>0</v>
      </c>
    </row>
    <row r="29" spans="1:38" s="1" customFormat="1" ht="12.95">
      <c r="A29" s="1" t="s">
        <v>130</v>
      </c>
      <c r="B29" s="6" t="s">
        <v>133</v>
      </c>
      <c r="C29" s="6" t="str">
        <f t="shared" si="0"/>
        <v/>
      </c>
      <c r="D29" s="18">
        <f t="shared" si="1"/>
        <v>1.7981649945929727E-5</v>
      </c>
      <c r="E29" s="17">
        <f>L29-M29</f>
        <v>36.880967705044895</v>
      </c>
      <c r="F29" s="1" t="s">
        <v>108</v>
      </c>
      <c r="G29" s="1" t="s">
        <v>134</v>
      </c>
      <c r="H29" s="1" t="s">
        <v>99</v>
      </c>
      <c r="I29" s="32"/>
      <c r="J29" s="33" t="s">
        <v>68</v>
      </c>
      <c r="K29" s="33" t="s">
        <v>68</v>
      </c>
      <c r="L29" s="17">
        <v>2051033.5712209302</v>
      </c>
      <c r="M29" s="17">
        <f>SUM(S29,AK29)</f>
        <v>2050996.6902532252</v>
      </c>
      <c r="N29" s="21">
        <v>0</v>
      </c>
      <c r="O29" s="21">
        <v>0</v>
      </c>
      <c r="P29" s="21">
        <v>83333</v>
      </c>
      <c r="Q29" s="21">
        <v>0</v>
      </c>
      <c r="R29" s="21">
        <v>10400</v>
      </c>
      <c r="S29" s="17">
        <f t="shared" si="6"/>
        <v>93733</v>
      </c>
      <c r="T29" s="21">
        <v>177777.18856990049</v>
      </c>
      <c r="U29" s="21">
        <v>83411.58325688426</v>
      </c>
      <c r="V29" s="21">
        <v>373602.16120367515</v>
      </c>
      <c r="W29" s="21" t="s">
        <v>132</v>
      </c>
      <c r="X29" s="17">
        <f t="shared" si="7"/>
        <v>634790.93303045991</v>
      </c>
      <c r="Y29" s="20">
        <v>226731.3214317481</v>
      </c>
      <c r="Z29" s="20">
        <v>178425.04962489882</v>
      </c>
      <c r="AA29" s="20">
        <v>0</v>
      </c>
      <c r="AB29" s="20">
        <v>0</v>
      </c>
      <c r="AC29" s="20">
        <v>0</v>
      </c>
      <c r="AD29" s="20">
        <v>549150.87656810915</v>
      </c>
      <c r="AE29" s="20">
        <v>0</v>
      </c>
      <c r="AF29" s="20">
        <v>368165.50959800929</v>
      </c>
      <c r="AG29" s="20">
        <v>0</v>
      </c>
      <c r="AH29" s="20">
        <v>0</v>
      </c>
      <c r="AI29" s="20">
        <v>0</v>
      </c>
      <c r="AJ29" s="34">
        <f t="shared" si="4"/>
        <v>1322472.7572227654</v>
      </c>
      <c r="AK29" s="17">
        <f t="shared" si="5"/>
        <v>1957263.6902532252</v>
      </c>
      <c r="AL29" s="21">
        <v>0</v>
      </c>
    </row>
    <row r="30" spans="1:38" s="1" customFormat="1" ht="12.95">
      <c r="A30" s="1" t="s">
        <v>135</v>
      </c>
      <c r="B30" s="6" t="s">
        <v>136</v>
      </c>
      <c r="C30" s="6" t="str">
        <f t="shared" si="0"/>
        <v/>
      </c>
      <c r="D30" s="18">
        <f t="shared" si="1"/>
        <v>-1.327999999995033E-5</v>
      </c>
      <c r="E30" s="17">
        <f>L30-M30</f>
        <v>-24.899999999906868</v>
      </c>
      <c r="F30" s="1" t="s">
        <v>136</v>
      </c>
      <c r="G30" s="1" t="s">
        <v>74</v>
      </c>
      <c r="H30" s="1" t="s">
        <v>67</v>
      </c>
      <c r="I30" s="32"/>
      <c r="J30" s="33" t="s">
        <v>68</v>
      </c>
      <c r="K30" s="33" t="s">
        <v>68</v>
      </c>
      <c r="L30" s="17">
        <v>1875000</v>
      </c>
      <c r="M30" s="17">
        <f>SUM(S30,AK30)</f>
        <v>1875024.9</v>
      </c>
      <c r="N30" s="21">
        <v>0</v>
      </c>
      <c r="O30" s="21">
        <v>0</v>
      </c>
      <c r="P30" s="21">
        <v>0</v>
      </c>
      <c r="Q30" s="21">
        <v>0</v>
      </c>
      <c r="R30" s="21">
        <v>0</v>
      </c>
      <c r="S30" s="17">
        <f t="shared" si="6"/>
        <v>0</v>
      </c>
      <c r="T30" s="21">
        <v>0</v>
      </c>
      <c r="U30" s="21">
        <v>93742.109999999986</v>
      </c>
      <c r="V30" s="21">
        <v>9373.77</v>
      </c>
      <c r="W30" s="21" t="s">
        <v>69</v>
      </c>
      <c r="X30" s="17">
        <f t="shared" si="7"/>
        <v>103115.87999999999</v>
      </c>
      <c r="Y30" s="20">
        <v>93742.109999999986</v>
      </c>
      <c r="Z30" s="20">
        <v>534491.37</v>
      </c>
      <c r="AA30" s="20">
        <v>1031181.4800000001</v>
      </c>
      <c r="AB30" s="20">
        <v>0</v>
      </c>
      <c r="AC30" s="20">
        <v>0</v>
      </c>
      <c r="AD30" s="20">
        <v>0</v>
      </c>
      <c r="AE30" s="20">
        <v>0</v>
      </c>
      <c r="AF30" s="20">
        <v>0</v>
      </c>
      <c r="AG30" s="20">
        <v>112494.05999999997</v>
      </c>
      <c r="AH30" s="20">
        <v>0</v>
      </c>
      <c r="AI30" s="20">
        <v>0</v>
      </c>
      <c r="AJ30" s="34">
        <f t="shared" si="4"/>
        <v>1771909.02</v>
      </c>
      <c r="AK30" s="17">
        <f t="shared" si="5"/>
        <v>1875024.9</v>
      </c>
      <c r="AL30" s="21">
        <v>0</v>
      </c>
    </row>
    <row r="31" spans="1:38" s="1" customFormat="1" ht="12.95">
      <c r="A31" s="1" t="s">
        <v>137</v>
      </c>
      <c r="B31" s="6" t="s">
        <v>138</v>
      </c>
      <c r="C31" s="6" t="str">
        <f t="shared" si="0"/>
        <v/>
      </c>
      <c r="D31" s="18">
        <f t="shared" si="1"/>
        <v>-7.297997108991903E-6</v>
      </c>
      <c r="E31" s="17">
        <f>L31-M31</f>
        <v>-17.848813701421022</v>
      </c>
      <c r="F31" s="1" t="s">
        <v>97</v>
      </c>
      <c r="G31" s="1" t="s">
        <v>98</v>
      </c>
      <c r="H31" s="1" t="s">
        <v>116</v>
      </c>
      <c r="I31" s="32"/>
      <c r="J31" s="33" t="s">
        <v>68</v>
      </c>
      <c r="K31" s="33" t="s">
        <v>68</v>
      </c>
      <c r="L31" s="17">
        <v>2445714</v>
      </c>
      <c r="M31" s="17">
        <f>SUM(S31,AK31)</f>
        <v>2445731.8488137014</v>
      </c>
      <c r="N31" s="21">
        <v>0</v>
      </c>
      <c r="O31" s="21">
        <v>0</v>
      </c>
      <c r="P31" s="21">
        <v>0</v>
      </c>
      <c r="Q31" s="21">
        <v>0</v>
      </c>
      <c r="R31" s="21">
        <v>13442.438661687174</v>
      </c>
      <c r="S31" s="17">
        <f t="shared" si="6"/>
        <v>13442.438661687174</v>
      </c>
      <c r="T31" s="21">
        <v>2330234.4776419573</v>
      </c>
      <c r="U31" s="21">
        <v>102054.93251005701</v>
      </c>
      <c r="V31" s="21">
        <v>0</v>
      </c>
      <c r="W31" s="21"/>
      <c r="X31" s="17">
        <f t="shared" si="7"/>
        <v>2432289.4101520143</v>
      </c>
      <c r="Y31" s="20">
        <v>0</v>
      </c>
      <c r="Z31" s="20">
        <v>0</v>
      </c>
      <c r="AA31" s="20">
        <v>0</v>
      </c>
      <c r="AB31" s="20">
        <v>0</v>
      </c>
      <c r="AC31" s="20">
        <v>0</v>
      </c>
      <c r="AD31" s="20">
        <v>0</v>
      </c>
      <c r="AE31" s="20">
        <v>0</v>
      </c>
      <c r="AF31" s="20">
        <v>0</v>
      </c>
      <c r="AG31" s="20">
        <v>0</v>
      </c>
      <c r="AH31" s="20">
        <v>0</v>
      </c>
      <c r="AI31" s="20">
        <v>0</v>
      </c>
      <c r="AJ31" s="34">
        <f t="shared" si="4"/>
        <v>0</v>
      </c>
      <c r="AK31" s="17">
        <f t="shared" si="5"/>
        <v>2432289.4101520143</v>
      </c>
      <c r="AL31" s="21">
        <v>0</v>
      </c>
    </row>
    <row r="32" spans="1:38" s="1" customFormat="1" ht="12.95">
      <c r="A32" s="1" t="s">
        <v>137</v>
      </c>
      <c r="B32" s="6" t="s">
        <v>139</v>
      </c>
      <c r="C32" s="6" t="str">
        <f t="shared" si="0"/>
        <v/>
      </c>
      <c r="D32" s="18">
        <f t="shared" si="1"/>
        <v>-7.2979971090839671E-6</v>
      </c>
      <c r="E32" s="17">
        <f>L32-M32</f>
        <v>-40.138984099961817</v>
      </c>
      <c r="F32" s="1" t="s">
        <v>114</v>
      </c>
      <c r="G32" s="1" t="s">
        <v>115</v>
      </c>
      <c r="H32" s="1" t="s">
        <v>116</v>
      </c>
      <c r="I32" s="32"/>
      <c r="J32" s="33" t="s">
        <v>68</v>
      </c>
      <c r="K32" s="33" t="s">
        <v>68</v>
      </c>
      <c r="L32" s="17">
        <v>5500000</v>
      </c>
      <c r="M32" s="17">
        <f>SUM(S32,AK32)</f>
        <v>5500040.1389841</v>
      </c>
      <c r="N32" s="21">
        <v>0</v>
      </c>
      <c r="O32" s="21">
        <v>0</v>
      </c>
      <c r="P32" s="21">
        <v>0</v>
      </c>
      <c r="Q32" s="21">
        <v>0</v>
      </c>
      <c r="R32" s="21">
        <v>30229.786736830007</v>
      </c>
      <c r="S32" s="17">
        <f t="shared" si="6"/>
        <v>30229.786736830007</v>
      </c>
      <c r="T32" s="21">
        <v>5240305.9503403772</v>
      </c>
      <c r="U32" s="21">
        <v>229504.40190689242</v>
      </c>
      <c r="V32" s="21">
        <v>0</v>
      </c>
      <c r="W32" s="21"/>
      <c r="X32" s="17">
        <f t="shared" si="7"/>
        <v>5469810.3522472698</v>
      </c>
      <c r="Y32" s="20">
        <v>0</v>
      </c>
      <c r="Z32" s="20">
        <v>0</v>
      </c>
      <c r="AA32" s="20">
        <v>0</v>
      </c>
      <c r="AB32" s="20">
        <v>0</v>
      </c>
      <c r="AC32" s="20">
        <v>0</v>
      </c>
      <c r="AD32" s="20">
        <v>0</v>
      </c>
      <c r="AE32" s="20">
        <v>0</v>
      </c>
      <c r="AF32" s="20">
        <v>0</v>
      </c>
      <c r="AG32" s="20">
        <v>0</v>
      </c>
      <c r="AH32" s="20">
        <v>0</v>
      </c>
      <c r="AI32" s="20">
        <v>0</v>
      </c>
      <c r="AJ32" s="34">
        <f t="shared" si="4"/>
        <v>0</v>
      </c>
      <c r="AK32" s="17">
        <f t="shared" si="5"/>
        <v>5469810.3522472698</v>
      </c>
      <c r="AL32" s="21">
        <v>0</v>
      </c>
    </row>
    <row r="33" spans="1:38" s="1" customFormat="1" ht="12.95">
      <c r="A33" s="1" t="s">
        <v>137</v>
      </c>
      <c r="B33" s="6" t="s">
        <v>140</v>
      </c>
      <c r="C33" s="6" t="str">
        <f t="shared" si="0"/>
        <v/>
      </c>
      <c r="D33" s="18">
        <f t="shared" si="1"/>
        <v>-7.2979971141473759E-6</v>
      </c>
      <c r="E33" s="17">
        <f>L33-M33</f>
        <v>-17.962124680168927</v>
      </c>
      <c r="F33" s="1" t="s">
        <v>141</v>
      </c>
      <c r="G33" s="1" t="s">
        <v>142</v>
      </c>
      <c r="H33" s="1" t="s">
        <v>116</v>
      </c>
      <c r="I33" s="32"/>
      <c r="J33" s="33" t="s">
        <v>68</v>
      </c>
      <c r="K33" s="33" t="s">
        <v>68</v>
      </c>
      <c r="L33" s="17">
        <v>2461240.3100775192</v>
      </c>
      <c r="M33" s="17">
        <f>SUM(S33,AK33)</f>
        <v>2461258.2722021993</v>
      </c>
      <c r="N33" s="21">
        <v>0</v>
      </c>
      <c r="O33" s="21">
        <v>0</v>
      </c>
      <c r="P33" s="21">
        <v>0</v>
      </c>
      <c r="Q33" s="21">
        <v>0</v>
      </c>
      <c r="R33" s="21">
        <v>13527.774601482815</v>
      </c>
      <c r="S33" s="17">
        <f t="shared" si="6"/>
        <v>13527.774601482815</v>
      </c>
      <c r="T33" s="21">
        <v>2345027.6820176658</v>
      </c>
      <c r="U33" s="21">
        <v>102702.81558305064</v>
      </c>
      <c r="V33" s="21">
        <v>0</v>
      </c>
      <c r="W33" s="21"/>
      <c r="X33" s="17">
        <f t="shared" si="7"/>
        <v>2447730.4976007165</v>
      </c>
      <c r="Y33" s="20">
        <v>0</v>
      </c>
      <c r="Z33" s="20">
        <v>0</v>
      </c>
      <c r="AA33" s="20">
        <v>0</v>
      </c>
      <c r="AB33" s="20">
        <v>0</v>
      </c>
      <c r="AC33" s="20">
        <v>0</v>
      </c>
      <c r="AD33" s="20">
        <v>0</v>
      </c>
      <c r="AE33" s="20">
        <v>0</v>
      </c>
      <c r="AF33" s="20">
        <v>0</v>
      </c>
      <c r="AG33" s="20">
        <v>0</v>
      </c>
      <c r="AH33" s="20">
        <v>0</v>
      </c>
      <c r="AI33" s="20">
        <v>0</v>
      </c>
      <c r="AJ33" s="34">
        <f t="shared" si="4"/>
        <v>0</v>
      </c>
      <c r="AK33" s="17">
        <f t="shared" si="5"/>
        <v>2447730.4976007165</v>
      </c>
      <c r="AL33" s="21">
        <v>0</v>
      </c>
    </row>
    <row r="34" spans="1:38" s="1" customFormat="1" ht="12.95">
      <c r="A34" s="1" t="s">
        <v>143</v>
      </c>
      <c r="B34" s="6" t="s">
        <v>144</v>
      </c>
      <c r="C34" s="6" t="str">
        <f t="shared" si="0"/>
        <v/>
      </c>
      <c r="D34" s="18">
        <f t="shared" si="1"/>
        <v>4.2110733559321545E-3</v>
      </c>
      <c r="E34" s="17">
        <f>L34-M34</f>
        <v>155283.32999999821</v>
      </c>
      <c r="F34" s="1" t="s">
        <v>73</v>
      </c>
      <c r="G34" s="1" t="s">
        <v>74</v>
      </c>
      <c r="H34" s="35" t="s">
        <v>145</v>
      </c>
      <c r="I34" s="32"/>
      <c r="J34" s="33" t="s">
        <v>68</v>
      </c>
      <c r="K34" s="33" t="s">
        <v>68</v>
      </c>
      <c r="L34" s="17">
        <v>36875000</v>
      </c>
      <c r="M34" s="17">
        <f>SUM(S34,AK34)</f>
        <v>36719716.670000002</v>
      </c>
      <c r="N34" s="21">
        <v>4567628</v>
      </c>
      <c r="O34" s="21">
        <v>0</v>
      </c>
      <c r="P34" s="21">
        <v>4650000</v>
      </c>
      <c r="Q34" s="21">
        <v>0</v>
      </c>
      <c r="R34" s="21">
        <v>0</v>
      </c>
      <c r="S34" s="17">
        <f t="shared" si="6"/>
        <v>9217628</v>
      </c>
      <c r="T34" s="21">
        <v>1910938.0499999998</v>
      </c>
      <c r="U34" s="21">
        <v>1398215.7000000002</v>
      </c>
      <c r="V34" s="21">
        <v>692843.76</v>
      </c>
      <c r="W34" s="21" t="s">
        <v>146</v>
      </c>
      <c r="X34" s="17">
        <f t="shared" si="7"/>
        <v>4001997.51</v>
      </c>
      <c r="Y34" s="20">
        <v>7391878.8300000001</v>
      </c>
      <c r="Z34" s="20">
        <v>3361349.88</v>
      </c>
      <c r="AA34" s="20">
        <v>770037.65999999992</v>
      </c>
      <c r="AB34" s="20">
        <v>8160966.4500000002</v>
      </c>
      <c r="AC34" s="20">
        <v>0</v>
      </c>
      <c r="AD34" s="20">
        <v>1759403.5200000003</v>
      </c>
      <c r="AE34" s="20">
        <v>1693439.37</v>
      </c>
      <c r="AF34" s="20">
        <v>350122.49999999994</v>
      </c>
      <c r="AG34" s="20">
        <v>12892.95</v>
      </c>
      <c r="AH34" s="20">
        <v>0</v>
      </c>
      <c r="AI34" s="20">
        <v>0</v>
      </c>
      <c r="AJ34" s="34">
        <f t="shared" si="4"/>
        <v>23500091.16</v>
      </c>
      <c r="AK34" s="17">
        <f t="shared" si="5"/>
        <v>27502088.670000002</v>
      </c>
      <c r="AL34" s="21">
        <v>0</v>
      </c>
    </row>
    <row r="35" spans="1:38" s="1" customFormat="1" ht="12.95">
      <c r="A35" s="1" t="s">
        <v>143</v>
      </c>
      <c r="B35" s="1" t="s">
        <v>147</v>
      </c>
      <c r="C35" s="19" t="s">
        <v>148</v>
      </c>
      <c r="D35" s="18"/>
      <c r="E35" s="17">
        <f>L35-M35</f>
        <v>-155296.4</v>
      </c>
      <c r="F35" s="1" t="s">
        <v>73</v>
      </c>
      <c r="G35" s="1" t="s">
        <v>74</v>
      </c>
      <c r="H35" s="1" t="s">
        <v>145</v>
      </c>
      <c r="I35" s="32"/>
      <c r="J35" s="33" t="s">
        <v>68</v>
      </c>
      <c r="K35" s="33" t="s">
        <v>68</v>
      </c>
      <c r="L35" s="17">
        <v>0</v>
      </c>
      <c r="M35" s="17">
        <f>AL35</f>
        <v>155296.4</v>
      </c>
      <c r="N35" s="21">
        <v>0</v>
      </c>
      <c r="O35" s="21">
        <v>0</v>
      </c>
      <c r="P35" s="21">
        <v>0</v>
      </c>
      <c r="Q35" s="21">
        <v>0</v>
      </c>
      <c r="R35" s="21">
        <v>0</v>
      </c>
      <c r="S35" s="17">
        <f t="shared" si="6"/>
        <v>0</v>
      </c>
      <c r="T35" s="21">
        <v>0</v>
      </c>
      <c r="U35" s="21">
        <v>0</v>
      </c>
      <c r="V35" s="21">
        <v>0</v>
      </c>
      <c r="W35" s="21"/>
      <c r="X35" s="17">
        <f t="shared" si="7"/>
        <v>0</v>
      </c>
      <c r="Y35" s="20">
        <v>0</v>
      </c>
      <c r="Z35" s="20">
        <v>0</v>
      </c>
      <c r="AA35" s="20">
        <v>0</v>
      </c>
      <c r="AB35" s="20">
        <v>0</v>
      </c>
      <c r="AC35" s="20">
        <v>0</v>
      </c>
      <c r="AD35" s="20">
        <v>0</v>
      </c>
      <c r="AE35" s="20">
        <v>0</v>
      </c>
      <c r="AF35" s="20">
        <v>0</v>
      </c>
      <c r="AG35" s="20">
        <v>0</v>
      </c>
      <c r="AH35" s="20">
        <v>0</v>
      </c>
      <c r="AI35" s="20">
        <v>0</v>
      </c>
      <c r="AJ35" s="34">
        <f t="shared" ref="AJ35:AJ66" si="8">SUM(Y35:AI35)</f>
        <v>0</v>
      </c>
      <c r="AK35" s="17">
        <f t="shared" si="5"/>
        <v>0</v>
      </c>
      <c r="AL35" s="21">
        <v>155296.4</v>
      </c>
    </row>
    <row r="36" spans="1:38" s="1" customFormat="1" ht="12.95">
      <c r="A36" s="1" t="s">
        <v>149</v>
      </c>
      <c r="B36" s="6" t="s">
        <v>149</v>
      </c>
      <c r="C36" s="6" t="str">
        <f>IF(D36&gt;0.02, "Variance exceeds +/- 2%", IF(D36&lt;-0.02,"Variance exceeds +/- 2%", ""))</f>
        <v>Variance exceeds +/- 2%</v>
      </c>
      <c r="D36" s="18">
        <f>E36/L36</f>
        <v>6.8906223599999997E-2</v>
      </c>
      <c r="E36" s="17">
        <f>L36-M36</f>
        <v>1722655.5899999999</v>
      </c>
      <c r="F36" s="1" t="s">
        <v>149</v>
      </c>
      <c r="G36" s="1" t="s">
        <v>74</v>
      </c>
      <c r="H36" s="1" t="s">
        <v>89</v>
      </c>
      <c r="I36" s="32"/>
      <c r="J36" s="33" t="s">
        <v>68</v>
      </c>
      <c r="K36" s="33" t="s">
        <v>68</v>
      </c>
      <c r="L36" s="17">
        <v>25000000</v>
      </c>
      <c r="M36" s="17">
        <f>SUM(S36,AK36)</f>
        <v>23277344.41</v>
      </c>
      <c r="N36" s="21">
        <v>2184493</v>
      </c>
      <c r="O36" s="21">
        <v>0</v>
      </c>
      <c r="P36" s="21">
        <v>0</v>
      </c>
      <c r="Q36" s="21">
        <v>0</v>
      </c>
      <c r="R36" s="21">
        <v>0</v>
      </c>
      <c r="S36" s="17">
        <f t="shared" si="6"/>
        <v>2184493</v>
      </c>
      <c r="T36" s="21">
        <v>693624.96000000008</v>
      </c>
      <c r="U36" s="21">
        <v>1571031.63</v>
      </c>
      <c r="V36" s="21">
        <v>109536</v>
      </c>
      <c r="W36" s="21" t="s">
        <v>150</v>
      </c>
      <c r="X36" s="17">
        <f t="shared" si="7"/>
        <v>2374192.59</v>
      </c>
      <c r="Y36" s="20">
        <v>9801463.1400000006</v>
      </c>
      <c r="Z36" s="20">
        <v>346224.06</v>
      </c>
      <c r="AA36" s="20">
        <v>0</v>
      </c>
      <c r="AB36" s="20">
        <v>26403.3</v>
      </c>
      <c r="AC36" s="20">
        <v>736267.67999999993</v>
      </c>
      <c r="AD36" s="20">
        <v>0</v>
      </c>
      <c r="AE36" s="20">
        <v>0</v>
      </c>
      <c r="AF36" s="20">
        <v>610786.8899999999</v>
      </c>
      <c r="AG36" s="20">
        <v>0</v>
      </c>
      <c r="AH36" s="20">
        <v>7197513.75</v>
      </c>
      <c r="AI36" s="20">
        <v>0</v>
      </c>
      <c r="AJ36" s="34">
        <f t="shared" si="8"/>
        <v>18718658.82</v>
      </c>
      <c r="AK36" s="17">
        <f t="shared" si="5"/>
        <v>21092851.41</v>
      </c>
      <c r="AL36" s="21">
        <v>0</v>
      </c>
    </row>
    <row r="37" spans="1:38" s="1" customFormat="1" ht="12.95">
      <c r="A37" s="1" t="s">
        <v>149</v>
      </c>
      <c r="B37" s="1" t="s">
        <v>151</v>
      </c>
      <c r="C37" s="19" t="s">
        <v>148</v>
      </c>
      <c r="D37" s="18"/>
      <c r="E37" s="17">
        <f>L37-M37</f>
        <v>-1722675.5</v>
      </c>
      <c r="F37" s="1" t="s">
        <v>149</v>
      </c>
      <c r="G37" s="1" t="s">
        <v>74</v>
      </c>
      <c r="H37" s="1" t="s">
        <v>89</v>
      </c>
      <c r="I37" s="32"/>
      <c r="J37" s="33" t="s">
        <v>68</v>
      </c>
      <c r="K37" s="33" t="s">
        <v>68</v>
      </c>
      <c r="L37" s="17">
        <v>0</v>
      </c>
      <c r="M37" s="17">
        <f>AL37</f>
        <v>1722675.5</v>
      </c>
      <c r="N37" s="21">
        <v>0</v>
      </c>
      <c r="O37" s="21">
        <v>0</v>
      </c>
      <c r="P37" s="21">
        <v>0</v>
      </c>
      <c r="Q37" s="21">
        <v>0</v>
      </c>
      <c r="R37" s="21">
        <v>0</v>
      </c>
      <c r="S37" s="17">
        <f t="shared" si="6"/>
        <v>0</v>
      </c>
      <c r="T37" s="21">
        <v>0</v>
      </c>
      <c r="U37" s="21">
        <v>0</v>
      </c>
      <c r="V37" s="21">
        <v>0</v>
      </c>
      <c r="W37" s="21"/>
      <c r="X37" s="17">
        <f t="shared" si="7"/>
        <v>0</v>
      </c>
      <c r="Y37" s="20">
        <v>0</v>
      </c>
      <c r="Z37" s="20">
        <v>0</v>
      </c>
      <c r="AA37" s="20">
        <v>0</v>
      </c>
      <c r="AB37" s="20">
        <v>0</v>
      </c>
      <c r="AC37" s="20">
        <v>0</v>
      </c>
      <c r="AD37" s="20">
        <v>0</v>
      </c>
      <c r="AE37" s="20">
        <v>0</v>
      </c>
      <c r="AF37" s="20">
        <v>0</v>
      </c>
      <c r="AG37" s="20">
        <v>0</v>
      </c>
      <c r="AH37" s="20">
        <v>0</v>
      </c>
      <c r="AI37" s="20">
        <v>0</v>
      </c>
      <c r="AJ37" s="34">
        <f t="shared" si="8"/>
        <v>0</v>
      </c>
      <c r="AK37" s="17">
        <f t="shared" si="5"/>
        <v>0</v>
      </c>
      <c r="AL37" s="21">
        <v>1722675.5</v>
      </c>
    </row>
    <row r="38" spans="1:38" s="1" customFormat="1" ht="12.95">
      <c r="A38" s="1" t="s">
        <v>152</v>
      </c>
      <c r="B38" s="6" t="s">
        <v>152</v>
      </c>
      <c r="C38" s="6" t="str">
        <f t="shared" ref="C38:C43" si="9">IF(D38&gt;0.02, "Variance exceeds +/- 2%", IF(D38&lt;-0.02,"Variance exceeds +/- 2%", ""))</f>
        <v/>
      </c>
      <c r="D38" s="18">
        <f t="shared" ref="D38:D43" si="10">E38/L38</f>
        <v>8.5732283447905797E-7</v>
      </c>
      <c r="E38" s="17">
        <f>L38-M38</f>
        <v>3.1651162784546614</v>
      </c>
      <c r="F38" s="1" t="s">
        <v>73</v>
      </c>
      <c r="G38" s="1" t="s">
        <v>74</v>
      </c>
      <c r="H38" s="35" t="s">
        <v>67</v>
      </c>
      <c r="I38" s="32"/>
      <c r="J38" s="33" t="s">
        <v>68</v>
      </c>
      <c r="K38" s="33" t="s">
        <v>68</v>
      </c>
      <c r="L38" s="17">
        <v>3691860.4651162787</v>
      </c>
      <c r="M38" s="17">
        <f>SUM(S38,AK38)</f>
        <v>3691857.3000000003</v>
      </c>
      <c r="N38" s="21">
        <v>0</v>
      </c>
      <c r="O38" s="21">
        <v>0</v>
      </c>
      <c r="P38" s="21">
        <v>0</v>
      </c>
      <c r="Q38" s="21">
        <v>0</v>
      </c>
      <c r="R38" s="21">
        <v>20400</v>
      </c>
      <c r="S38" s="17">
        <f t="shared" si="6"/>
        <v>20400</v>
      </c>
      <c r="T38" s="21">
        <v>0</v>
      </c>
      <c r="U38" s="21">
        <v>183713.67</v>
      </c>
      <c r="V38" s="21">
        <v>18378.359999999997</v>
      </c>
      <c r="W38" s="21" t="s">
        <v>69</v>
      </c>
      <c r="X38" s="17">
        <f t="shared" si="7"/>
        <v>202092.03</v>
      </c>
      <c r="Y38" s="20">
        <v>183713.67</v>
      </c>
      <c r="Z38" s="20">
        <v>2441200.8600000003</v>
      </c>
      <c r="AA38" s="20">
        <v>844450.74</v>
      </c>
      <c r="AB38" s="20">
        <v>0</v>
      </c>
      <c r="AC38" s="20">
        <v>0</v>
      </c>
      <c r="AD38" s="20">
        <v>0</v>
      </c>
      <c r="AE38" s="20">
        <v>0</v>
      </c>
      <c r="AF38" s="20">
        <v>0</v>
      </c>
      <c r="AG38" s="20">
        <v>0</v>
      </c>
      <c r="AH38" s="20">
        <v>0</v>
      </c>
      <c r="AI38" s="20">
        <v>0</v>
      </c>
      <c r="AJ38" s="34">
        <f t="shared" si="8"/>
        <v>3469365.2700000005</v>
      </c>
      <c r="AK38" s="17">
        <f t="shared" si="5"/>
        <v>3671457.3000000003</v>
      </c>
      <c r="AL38" s="21">
        <v>0</v>
      </c>
    </row>
    <row r="39" spans="1:38" s="1" customFormat="1" ht="12.95">
      <c r="A39" s="1" t="s">
        <v>77</v>
      </c>
      <c r="B39" s="6" t="s">
        <v>153</v>
      </c>
      <c r="C39" s="6" t="str">
        <f t="shared" si="9"/>
        <v/>
      </c>
      <c r="D39" s="18">
        <f t="shared" si="10"/>
        <v>6.4000000001396983E-6</v>
      </c>
      <c r="E39" s="17">
        <f>L39-M39</f>
        <v>3.2000000000698492</v>
      </c>
      <c r="F39" s="1" t="s">
        <v>108</v>
      </c>
      <c r="G39" s="1" t="s">
        <v>109</v>
      </c>
      <c r="H39" s="35" t="s">
        <v>79</v>
      </c>
      <c r="I39" s="32"/>
      <c r="J39" s="33" t="s">
        <v>68</v>
      </c>
      <c r="K39" s="33" t="s">
        <v>68</v>
      </c>
      <c r="L39" s="17">
        <v>500000</v>
      </c>
      <c r="M39" s="17">
        <f>SUM(S39,AK39)</f>
        <v>499996.79999999993</v>
      </c>
      <c r="N39" s="21">
        <v>0</v>
      </c>
      <c r="O39" s="21">
        <v>0</v>
      </c>
      <c r="P39" s="21">
        <v>0</v>
      </c>
      <c r="Q39" s="21">
        <v>0</v>
      </c>
      <c r="R39" s="21">
        <v>0</v>
      </c>
      <c r="S39" s="17">
        <f t="shared" si="6"/>
        <v>0</v>
      </c>
      <c r="T39" s="21">
        <v>0</v>
      </c>
      <c r="U39" s="21">
        <v>0</v>
      </c>
      <c r="V39" s="21">
        <v>0</v>
      </c>
      <c r="W39" s="21"/>
      <c r="X39" s="17">
        <f t="shared" si="7"/>
        <v>0</v>
      </c>
      <c r="Y39" s="20">
        <v>0</v>
      </c>
      <c r="Z39" s="20">
        <v>0</v>
      </c>
      <c r="AA39" s="20">
        <v>0</v>
      </c>
      <c r="AB39" s="20">
        <v>0</v>
      </c>
      <c r="AC39" s="20">
        <v>499996.79999999993</v>
      </c>
      <c r="AD39" s="20">
        <v>0</v>
      </c>
      <c r="AE39" s="20">
        <v>0</v>
      </c>
      <c r="AF39" s="20">
        <v>0</v>
      </c>
      <c r="AG39" s="20">
        <v>0</v>
      </c>
      <c r="AH39" s="20">
        <v>0</v>
      </c>
      <c r="AI39" s="20">
        <v>0</v>
      </c>
      <c r="AJ39" s="34">
        <f t="shared" si="8"/>
        <v>499996.79999999993</v>
      </c>
      <c r="AK39" s="17">
        <f t="shared" si="5"/>
        <v>499996.79999999993</v>
      </c>
      <c r="AL39" s="21">
        <v>0</v>
      </c>
    </row>
    <row r="40" spans="1:38" s="1" customFormat="1" ht="12.95">
      <c r="A40" s="1" t="s">
        <v>154</v>
      </c>
      <c r="B40" s="6" t="s">
        <v>155</v>
      </c>
      <c r="C40" s="6" t="str">
        <f t="shared" si="9"/>
        <v/>
      </c>
      <c r="D40" s="18">
        <f t="shared" si="10"/>
        <v>5.4100000000325962E-6</v>
      </c>
      <c r="E40" s="17">
        <f>L40-M40</f>
        <v>5.4100000000325963</v>
      </c>
      <c r="F40" s="1" t="s">
        <v>108</v>
      </c>
      <c r="G40" s="1" t="s">
        <v>109</v>
      </c>
      <c r="H40" s="35" t="s">
        <v>145</v>
      </c>
      <c r="I40" s="32"/>
      <c r="J40" s="33" t="s">
        <v>68</v>
      </c>
      <c r="K40" s="33" t="s">
        <v>68</v>
      </c>
      <c r="L40" s="17">
        <v>1000000</v>
      </c>
      <c r="M40" s="17">
        <f>SUM(S40,AK40)</f>
        <v>999994.59</v>
      </c>
      <c r="N40" s="21">
        <v>0</v>
      </c>
      <c r="O40" s="21">
        <v>0</v>
      </c>
      <c r="P40" s="21">
        <v>0</v>
      </c>
      <c r="Q40" s="21">
        <v>0</v>
      </c>
      <c r="R40" s="21">
        <v>0</v>
      </c>
      <c r="S40" s="17">
        <f t="shared" si="6"/>
        <v>0</v>
      </c>
      <c r="T40" s="21">
        <v>0</v>
      </c>
      <c r="U40" s="21">
        <v>0</v>
      </c>
      <c r="V40" s="21">
        <v>0</v>
      </c>
      <c r="W40" s="21"/>
      <c r="X40" s="17">
        <f t="shared" si="7"/>
        <v>0</v>
      </c>
      <c r="Y40" s="20">
        <v>0</v>
      </c>
      <c r="Z40" s="20">
        <v>0</v>
      </c>
      <c r="AA40" s="20">
        <v>0</v>
      </c>
      <c r="AB40" s="20">
        <v>999994.59</v>
      </c>
      <c r="AC40" s="20">
        <v>0</v>
      </c>
      <c r="AD40" s="20">
        <v>0</v>
      </c>
      <c r="AE40" s="20">
        <v>0</v>
      </c>
      <c r="AF40" s="20">
        <v>0</v>
      </c>
      <c r="AG40" s="20">
        <v>0</v>
      </c>
      <c r="AH40" s="20">
        <v>0</v>
      </c>
      <c r="AI40" s="20">
        <v>0</v>
      </c>
      <c r="AJ40" s="34">
        <f t="shared" si="8"/>
        <v>999994.59</v>
      </c>
      <c r="AK40" s="17">
        <f t="shared" si="5"/>
        <v>999994.59</v>
      </c>
      <c r="AL40" s="21">
        <v>0</v>
      </c>
    </row>
    <row r="41" spans="1:38" s="1" customFormat="1" ht="12.95">
      <c r="A41" s="1" t="s">
        <v>156</v>
      </c>
      <c r="B41" s="6" t="s">
        <v>157</v>
      </c>
      <c r="C41" s="6" t="str">
        <f t="shared" si="9"/>
        <v/>
      </c>
      <c r="D41" s="18">
        <f t="shared" si="10"/>
        <v>3.1927848742286965E-3</v>
      </c>
      <c r="E41" s="17">
        <f>L41-M41</f>
        <v>92590.761352632195</v>
      </c>
      <c r="F41" s="1" t="s">
        <v>158</v>
      </c>
      <c r="G41" s="1" t="s">
        <v>159</v>
      </c>
      <c r="H41" s="1" t="s">
        <v>145</v>
      </c>
      <c r="I41" s="32" t="s">
        <v>160</v>
      </c>
      <c r="J41" s="33" t="s">
        <v>68</v>
      </c>
      <c r="K41" s="33" t="s">
        <v>68</v>
      </c>
      <c r="L41" s="17">
        <v>29000000</v>
      </c>
      <c r="M41" s="17">
        <f>SUM(S41,AK41)</f>
        <v>28907409.238647368</v>
      </c>
      <c r="N41" s="21">
        <v>4702667</v>
      </c>
      <c r="O41" s="21">
        <v>4388333</v>
      </c>
      <c r="P41" s="21">
        <v>3516000</v>
      </c>
      <c r="Q41" s="21">
        <v>0</v>
      </c>
      <c r="R41" s="21">
        <v>0</v>
      </c>
      <c r="S41" s="17">
        <f t="shared" si="6"/>
        <v>12607000</v>
      </c>
      <c r="T41" s="21">
        <v>2759418.1161111728</v>
      </c>
      <c r="U41" s="21">
        <v>833537.12542897114</v>
      </c>
      <c r="V41" s="21">
        <v>301654.69206304685</v>
      </c>
      <c r="W41" s="21" t="s">
        <v>111</v>
      </c>
      <c r="X41" s="17">
        <f t="shared" si="7"/>
        <v>3894609.9336031908</v>
      </c>
      <c r="Y41" s="20">
        <v>3484669.5861237394</v>
      </c>
      <c r="Z41" s="20">
        <v>398596.84263060259</v>
      </c>
      <c r="AA41" s="20">
        <v>1024122.0192457772</v>
      </c>
      <c r="AB41" s="20">
        <v>5978596.4181689601</v>
      </c>
      <c r="AC41" s="20">
        <v>0</v>
      </c>
      <c r="AD41" s="20">
        <v>1151353.3261464166</v>
      </c>
      <c r="AE41" s="20">
        <v>27200.229976218528</v>
      </c>
      <c r="AF41" s="20">
        <v>341260.88275246264</v>
      </c>
      <c r="AG41" s="20">
        <v>0</v>
      </c>
      <c r="AH41" s="20">
        <v>0</v>
      </c>
      <c r="AI41" s="20">
        <v>0</v>
      </c>
      <c r="AJ41" s="34">
        <f t="shared" si="8"/>
        <v>12405799.305044178</v>
      </c>
      <c r="AK41" s="17">
        <f t="shared" si="5"/>
        <v>16300409.238647368</v>
      </c>
      <c r="AL41" s="21">
        <v>0</v>
      </c>
    </row>
    <row r="42" spans="1:38" s="1" customFormat="1" ht="12.95">
      <c r="A42" s="1" t="s">
        <v>156</v>
      </c>
      <c r="B42" s="6" t="s">
        <v>161</v>
      </c>
      <c r="C42" s="6" t="str">
        <f t="shared" si="9"/>
        <v/>
      </c>
      <c r="D42" s="18">
        <f t="shared" si="10"/>
        <v>5.5675080766299633E-3</v>
      </c>
      <c r="E42" s="17">
        <f>L42-M42</f>
        <v>58464.302761290222</v>
      </c>
      <c r="F42" s="1" t="s">
        <v>158</v>
      </c>
      <c r="G42" s="1" t="s">
        <v>159</v>
      </c>
      <c r="H42" s="1" t="s">
        <v>145</v>
      </c>
      <c r="I42" s="32" t="s">
        <v>160</v>
      </c>
      <c r="J42" s="33" t="s">
        <v>68</v>
      </c>
      <c r="K42" s="33" t="s">
        <v>68</v>
      </c>
      <c r="L42" s="17">
        <v>10500982.119217493</v>
      </c>
      <c r="M42" s="17">
        <f>SUM(S42,AK42)</f>
        <v>10442517.816456202</v>
      </c>
      <c r="N42" s="21">
        <v>0</v>
      </c>
      <c r="O42" s="21">
        <v>150000</v>
      </c>
      <c r="P42" s="21">
        <v>0</v>
      </c>
      <c r="Q42" s="21">
        <v>0</v>
      </c>
      <c r="R42" s="21">
        <v>0</v>
      </c>
      <c r="S42" s="17">
        <f t="shared" si="6"/>
        <v>150000</v>
      </c>
      <c r="T42" s="21">
        <v>1742370.9863546374</v>
      </c>
      <c r="U42" s="21">
        <v>526317.8113230787</v>
      </c>
      <c r="V42" s="21">
        <v>190472.90451550402</v>
      </c>
      <c r="W42" s="21" t="s">
        <v>111</v>
      </c>
      <c r="X42" s="17">
        <f t="shared" si="7"/>
        <v>2459161.7021932201</v>
      </c>
      <c r="Y42" s="20">
        <v>2200314.3157047429</v>
      </c>
      <c r="Z42" s="20">
        <v>251684.79173097768</v>
      </c>
      <c r="AA42" s="20">
        <v>646658.2510284849</v>
      </c>
      <c r="AB42" s="20">
        <v>3775046.9482391668</v>
      </c>
      <c r="AC42" s="20">
        <v>0</v>
      </c>
      <c r="AD42" s="20">
        <v>726995.52808169008</v>
      </c>
      <c r="AE42" s="20">
        <v>17174.958465347507</v>
      </c>
      <c r="AF42" s="20">
        <v>215481.32101257358</v>
      </c>
      <c r="AG42" s="20">
        <v>0</v>
      </c>
      <c r="AH42" s="20">
        <v>0</v>
      </c>
      <c r="AI42" s="20">
        <v>0</v>
      </c>
      <c r="AJ42" s="34">
        <f t="shared" si="8"/>
        <v>7833356.1142629823</v>
      </c>
      <c r="AK42" s="17">
        <f t="shared" si="5"/>
        <v>10292517.816456202</v>
      </c>
      <c r="AL42" s="21">
        <v>0</v>
      </c>
    </row>
    <row r="43" spans="1:38" s="1" customFormat="1" ht="12.95">
      <c r="A43" s="1" t="s">
        <v>156</v>
      </c>
      <c r="B43" s="6" t="s">
        <v>162</v>
      </c>
      <c r="C43" s="6" t="str">
        <f t="shared" si="9"/>
        <v/>
      </c>
      <c r="D43" s="18">
        <f t="shared" si="10"/>
        <v>5.3079933363853722E-3</v>
      </c>
      <c r="E43" s="17">
        <f>L43-M43</f>
        <v>46266.877158902586</v>
      </c>
      <c r="F43" s="1" t="s">
        <v>158</v>
      </c>
      <c r="G43" s="1" t="s">
        <v>159</v>
      </c>
      <c r="H43" s="1" t="s">
        <v>145</v>
      </c>
      <c r="I43" s="32" t="s">
        <v>160</v>
      </c>
      <c r="J43" s="33" t="s">
        <v>68</v>
      </c>
      <c r="K43" s="33" t="s">
        <v>68</v>
      </c>
      <c r="L43" s="17">
        <v>8716453.5120553337</v>
      </c>
      <c r="M43" s="17">
        <f>SUM(S43,AK43)</f>
        <v>8670186.6348964311</v>
      </c>
      <c r="N43" s="21">
        <v>0</v>
      </c>
      <c r="O43" s="21">
        <v>525000</v>
      </c>
      <c r="P43" s="21">
        <v>0</v>
      </c>
      <c r="Q43" s="21">
        <v>0</v>
      </c>
      <c r="R43" s="21">
        <v>0</v>
      </c>
      <c r="S43" s="17">
        <f t="shared" si="6"/>
        <v>525000</v>
      </c>
      <c r="T43" s="21">
        <v>1378859.5875341902</v>
      </c>
      <c r="U43" s="21">
        <v>416511.96324795054</v>
      </c>
      <c r="V43" s="21">
        <v>150734.48342144914</v>
      </c>
      <c r="W43" s="21" t="s">
        <v>111</v>
      </c>
      <c r="X43" s="17">
        <f t="shared" si="7"/>
        <v>1946106.0342035899</v>
      </c>
      <c r="Y43" s="20">
        <v>1741262.0581715191</v>
      </c>
      <c r="Z43" s="20">
        <v>199175.71563841988</v>
      </c>
      <c r="AA43" s="20">
        <v>511745.73972573795</v>
      </c>
      <c r="AB43" s="20">
        <v>2987457.7335918727</v>
      </c>
      <c r="AC43" s="20">
        <v>0</v>
      </c>
      <c r="AD43" s="20">
        <v>575322.22577189375</v>
      </c>
      <c r="AE43" s="20">
        <v>13591.741558433969</v>
      </c>
      <c r="AF43" s="20">
        <v>170525.38623496392</v>
      </c>
      <c r="AG43" s="20">
        <v>0</v>
      </c>
      <c r="AH43" s="20">
        <v>0</v>
      </c>
      <c r="AI43" s="20">
        <v>0</v>
      </c>
      <c r="AJ43" s="34">
        <f t="shared" si="8"/>
        <v>6199080.6006928412</v>
      </c>
      <c r="AK43" s="17">
        <f t="shared" si="5"/>
        <v>8145186.6348964311</v>
      </c>
      <c r="AL43" s="21">
        <v>0</v>
      </c>
    </row>
    <row r="44" spans="1:38" s="1" customFormat="1" ht="12.95">
      <c r="A44" s="1" t="s">
        <v>156</v>
      </c>
      <c r="B44" s="1" t="s">
        <v>163</v>
      </c>
      <c r="C44" s="19" t="s">
        <v>148</v>
      </c>
      <c r="D44" s="18"/>
      <c r="E44" s="17">
        <f>L44-M44</f>
        <v>-197318.1</v>
      </c>
      <c r="F44" s="1" t="s">
        <v>158</v>
      </c>
      <c r="G44" s="1" t="s">
        <v>159</v>
      </c>
      <c r="H44" s="1" t="s">
        <v>145</v>
      </c>
      <c r="I44" s="32"/>
      <c r="J44" s="33" t="s">
        <v>68</v>
      </c>
      <c r="K44" s="33" t="s">
        <v>68</v>
      </c>
      <c r="L44" s="17">
        <v>0</v>
      </c>
      <c r="M44" s="17">
        <f>AL44</f>
        <v>197318.1</v>
      </c>
      <c r="N44" s="21"/>
      <c r="O44" s="21"/>
      <c r="P44" s="21"/>
      <c r="Q44" s="21"/>
      <c r="R44" s="21"/>
      <c r="S44" s="17"/>
      <c r="T44" s="21">
        <v>0</v>
      </c>
      <c r="U44" s="21">
        <v>0</v>
      </c>
      <c r="V44" s="21">
        <v>0</v>
      </c>
      <c r="W44" s="21"/>
      <c r="X44" s="17">
        <f t="shared" ref="X44:X72" si="11">SUM(T44:V44)</f>
        <v>0</v>
      </c>
      <c r="Y44" s="20">
        <v>0</v>
      </c>
      <c r="Z44" s="20">
        <v>0</v>
      </c>
      <c r="AA44" s="20">
        <v>0</v>
      </c>
      <c r="AB44" s="20">
        <v>0</v>
      </c>
      <c r="AC44" s="20">
        <v>0</v>
      </c>
      <c r="AD44" s="20">
        <v>0</v>
      </c>
      <c r="AE44" s="20">
        <v>0</v>
      </c>
      <c r="AF44" s="20">
        <v>0</v>
      </c>
      <c r="AG44" s="20">
        <v>0</v>
      </c>
      <c r="AH44" s="20">
        <v>0</v>
      </c>
      <c r="AI44" s="20">
        <v>0</v>
      </c>
      <c r="AJ44" s="34">
        <f t="shared" si="8"/>
        <v>0</v>
      </c>
      <c r="AK44" s="17">
        <f t="shared" si="5"/>
        <v>0</v>
      </c>
      <c r="AL44" s="21">
        <v>197318.1</v>
      </c>
    </row>
    <row r="45" spans="1:38" s="1" customFormat="1" ht="12.95">
      <c r="A45" s="1" t="s">
        <v>164</v>
      </c>
      <c r="B45" s="6" t="s">
        <v>165</v>
      </c>
      <c r="C45" s="6" t="str">
        <f t="shared" ref="C45:C58" si="12">IF(D45&gt;0.02, "Variance exceeds +/- 2%", IF(D45&lt;-0.02,"Variance exceeds +/- 2%", ""))</f>
        <v/>
      </c>
      <c r="D45" s="18">
        <f t="shared" ref="D45:D58" si="13">E45/L45</f>
        <v>4.6440036695089932E-3</v>
      </c>
      <c r="E45" s="17">
        <f>L45-M45</f>
        <v>58050.04586886242</v>
      </c>
      <c r="F45" s="1" t="s">
        <v>158</v>
      </c>
      <c r="G45" s="1" t="s">
        <v>159</v>
      </c>
      <c r="H45" s="1" t="s">
        <v>145</v>
      </c>
      <c r="I45" s="32"/>
      <c r="J45" s="33" t="s">
        <v>68</v>
      </c>
      <c r="K45" s="33" t="s">
        <v>68</v>
      </c>
      <c r="L45" s="17">
        <v>12500000</v>
      </c>
      <c r="M45" s="17">
        <f>SUM(S45,AK45)</f>
        <v>12441949.954131138</v>
      </c>
      <c r="N45" s="21">
        <v>0</v>
      </c>
      <c r="O45" s="21">
        <v>0</v>
      </c>
      <c r="P45" s="21">
        <v>3140000</v>
      </c>
      <c r="Q45" s="21">
        <v>0</v>
      </c>
      <c r="R45" s="21">
        <v>52069.311312963291</v>
      </c>
      <c r="S45" s="17">
        <f t="shared" ref="S45:S72" si="14">SUM(N45:R45)</f>
        <v>3192069.3113129633</v>
      </c>
      <c r="T45" s="21">
        <v>574163.37040086661</v>
      </c>
      <c r="U45" s="21">
        <v>523763.17888526467</v>
      </c>
      <c r="V45" s="21">
        <v>640629.72902792227</v>
      </c>
      <c r="W45" s="21" t="s">
        <v>166</v>
      </c>
      <c r="X45" s="17">
        <f t="shared" si="11"/>
        <v>1738556.2783140535</v>
      </c>
      <c r="Y45" s="20">
        <v>1183908.260238349</v>
      </c>
      <c r="Z45" s="20">
        <v>683396.22548756865</v>
      </c>
      <c r="AA45" s="20">
        <v>0</v>
      </c>
      <c r="AB45" s="20">
        <v>4590924.5542475153</v>
      </c>
      <c r="AC45" s="20">
        <v>0</v>
      </c>
      <c r="AD45" s="20">
        <v>222846.46722217422</v>
      </c>
      <c r="AE45" s="20">
        <v>208550.00547923872</v>
      </c>
      <c r="AF45" s="20">
        <v>45019.858824870375</v>
      </c>
      <c r="AG45" s="20">
        <v>427485.60168721457</v>
      </c>
      <c r="AH45" s="20">
        <v>0</v>
      </c>
      <c r="AI45" s="20">
        <v>149193.39131718743</v>
      </c>
      <c r="AJ45" s="34">
        <f t="shared" si="8"/>
        <v>7511324.3645041194</v>
      </c>
      <c r="AK45" s="17">
        <f t="shared" si="5"/>
        <v>9249880.6428181734</v>
      </c>
      <c r="AL45" s="21">
        <v>0</v>
      </c>
    </row>
    <row r="46" spans="1:38" s="1" customFormat="1" ht="12.95">
      <c r="A46" s="1" t="s">
        <v>164</v>
      </c>
      <c r="B46" s="6" t="s">
        <v>167</v>
      </c>
      <c r="C46" s="6" t="str">
        <f t="shared" si="12"/>
        <v/>
      </c>
      <c r="D46" s="18">
        <f t="shared" si="13"/>
        <v>4.2633836065205663E-3</v>
      </c>
      <c r="E46" s="17">
        <f>L46-M46</f>
        <v>43966.143442243338</v>
      </c>
      <c r="F46" s="1" t="s">
        <v>158</v>
      </c>
      <c r="G46" s="1" t="s">
        <v>159</v>
      </c>
      <c r="H46" s="1" t="s">
        <v>145</v>
      </c>
      <c r="I46" s="32"/>
      <c r="J46" s="33" t="s">
        <v>68</v>
      </c>
      <c r="K46" s="33" t="s">
        <v>68</v>
      </c>
      <c r="L46" s="17">
        <v>10312500</v>
      </c>
      <c r="M46" s="17">
        <f>SUM(S46,AK46)</f>
        <v>10268533.856557757</v>
      </c>
      <c r="N46" s="21">
        <v>0</v>
      </c>
      <c r="O46" s="21">
        <v>0</v>
      </c>
      <c r="P46" s="21">
        <v>3223391</v>
      </c>
      <c r="Q46" s="21">
        <v>0</v>
      </c>
      <c r="R46" s="21">
        <v>39436.434129543792</v>
      </c>
      <c r="S46" s="17">
        <f t="shared" si="14"/>
        <v>3262827.4341295436</v>
      </c>
      <c r="T46" s="21">
        <v>434861.82869435009</v>
      </c>
      <c r="U46" s="21">
        <v>396689.55825898924</v>
      </c>
      <c r="V46" s="21">
        <v>485202.34804694488</v>
      </c>
      <c r="W46" s="21" t="s">
        <v>166</v>
      </c>
      <c r="X46" s="17">
        <f t="shared" si="11"/>
        <v>1316753.7350002842</v>
      </c>
      <c r="Y46" s="20">
        <v>896672.51098611334</v>
      </c>
      <c r="Z46" s="20">
        <v>517592.98425961018</v>
      </c>
      <c r="AA46" s="20">
        <v>0</v>
      </c>
      <c r="AB46" s="20">
        <v>3477090.2324612229</v>
      </c>
      <c r="AC46" s="20">
        <v>0</v>
      </c>
      <c r="AD46" s="20">
        <v>168780.22397467095</v>
      </c>
      <c r="AE46" s="20">
        <v>157952.32059753421</v>
      </c>
      <c r="AF46" s="20">
        <v>34097.295552790376</v>
      </c>
      <c r="AG46" s="20">
        <v>323770.51562940679</v>
      </c>
      <c r="AH46" s="20">
        <v>0</v>
      </c>
      <c r="AI46" s="20">
        <v>112996.60396658066</v>
      </c>
      <c r="AJ46" s="34">
        <f t="shared" si="8"/>
        <v>5688952.6874279296</v>
      </c>
      <c r="AK46" s="17">
        <f t="shared" si="5"/>
        <v>7005706.422428214</v>
      </c>
      <c r="AL46" s="21">
        <v>0</v>
      </c>
    </row>
    <row r="47" spans="1:38" s="1" customFormat="1" ht="12.95">
      <c r="A47" s="1" t="s">
        <v>164</v>
      </c>
      <c r="B47" s="6" t="s">
        <v>168</v>
      </c>
      <c r="C47" s="6" t="str">
        <f t="shared" si="12"/>
        <v/>
      </c>
      <c r="D47" s="18">
        <f t="shared" si="13"/>
        <v>4.9555660637344394E-3</v>
      </c>
      <c r="E47" s="17">
        <f>L47-M47</f>
        <v>32830.62517224066</v>
      </c>
      <c r="F47" s="1" t="s">
        <v>158</v>
      </c>
      <c r="G47" s="1" t="s">
        <v>159</v>
      </c>
      <c r="H47" s="1" t="s">
        <v>145</v>
      </c>
      <c r="I47" s="32"/>
      <c r="J47" s="33" t="s">
        <v>68</v>
      </c>
      <c r="K47" s="33" t="s">
        <v>68</v>
      </c>
      <c r="L47" s="17">
        <v>6625000</v>
      </c>
      <c r="M47" s="17">
        <f>SUM(S47,AK47)</f>
        <v>6592169.3748277593</v>
      </c>
      <c r="N47" s="21">
        <v>0</v>
      </c>
      <c r="O47" s="21">
        <v>0</v>
      </c>
      <c r="P47" s="21">
        <v>1331384</v>
      </c>
      <c r="Q47" s="21">
        <v>0</v>
      </c>
      <c r="R47" s="21">
        <v>29448.177294367895</v>
      </c>
      <c r="S47" s="17">
        <f t="shared" si="14"/>
        <v>1360832.1772943679</v>
      </c>
      <c r="T47" s="21">
        <v>324722.26540255913</v>
      </c>
      <c r="U47" s="21">
        <v>296218.07093567296</v>
      </c>
      <c r="V47" s="21">
        <v>362312.79739934538</v>
      </c>
      <c r="W47" s="21" t="s">
        <v>166</v>
      </c>
      <c r="X47" s="17">
        <f t="shared" si="11"/>
        <v>983253.13373757736</v>
      </c>
      <c r="Y47" s="20">
        <v>669567.9176207144</v>
      </c>
      <c r="Z47" s="20">
        <v>386499.70016886754</v>
      </c>
      <c r="AA47" s="20">
        <v>0</v>
      </c>
      <c r="AB47" s="20">
        <v>2596430.7345253751</v>
      </c>
      <c r="AC47" s="20">
        <v>0</v>
      </c>
      <c r="AD47" s="20">
        <v>126032.43850756163</v>
      </c>
      <c r="AE47" s="20">
        <v>117946.97070566085</v>
      </c>
      <c r="AF47" s="20">
        <v>25461.308225755871</v>
      </c>
      <c r="AG47" s="20">
        <v>241767.58769883181</v>
      </c>
      <c r="AH47" s="20">
        <v>0</v>
      </c>
      <c r="AI47" s="20">
        <v>84377.406343047463</v>
      </c>
      <c r="AJ47" s="34">
        <f t="shared" si="8"/>
        <v>4248084.0637958143</v>
      </c>
      <c r="AK47" s="17">
        <f t="shared" si="5"/>
        <v>5231337.1975333914</v>
      </c>
      <c r="AL47" s="21">
        <v>0</v>
      </c>
    </row>
    <row r="48" spans="1:38" s="1" customFormat="1" ht="12.95">
      <c r="A48" s="1" t="s">
        <v>164</v>
      </c>
      <c r="B48" s="6" t="s">
        <v>169</v>
      </c>
      <c r="C48" s="6" t="str">
        <f t="shared" si="12"/>
        <v/>
      </c>
      <c r="D48" s="18">
        <f t="shared" si="13"/>
        <v>5.4539808433490345E-3</v>
      </c>
      <c r="E48" s="17">
        <f>L48-M48</f>
        <v>28292.525624873117</v>
      </c>
      <c r="F48" s="1" t="s">
        <v>158</v>
      </c>
      <c r="G48" s="1" t="s">
        <v>159</v>
      </c>
      <c r="H48" s="1" t="s">
        <v>145</v>
      </c>
      <c r="I48" s="32"/>
      <c r="J48" s="33" t="s">
        <v>68</v>
      </c>
      <c r="K48" s="33" t="s">
        <v>68</v>
      </c>
      <c r="L48" s="17">
        <v>5187500</v>
      </c>
      <c r="M48" s="17">
        <f>SUM(S48,AK48)</f>
        <v>5159207.4743751269</v>
      </c>
      <c r="N48" s="21">
        <v>0</v>
      </c>
      <c r="O48" s="21">
        <v>0</v>
      </c>
      <c r="P48" s="21">
        <v>625608</v>
      </c>
      <c r="Q48" s="21">
        <v>0</v>
      </c>
      <c r="R48" s="21">
        <v>25377.625504713327</v>
      </c>
      <c r="S48" s="17">
        <f t="shared" si="14"/>
        <v>650985.62550471327</v>
      </c>
      <c r="T48" s="21">
        <v>279836.67586802883</v>
      </c>
      <c r="U48" s="21">
        <v>255272.54868068991</v>
      </c>
      <c r="V48" s="21">
        <v>312231.15767250489</v>
      </c>
      <c r="W48" s="21" t="s">
        <v>166</v>
      </c>
      <c r="X48" s="17">
        <f t="shared" si="11"/>
        <v>847340.38222122367</v>
      </c>
      <c r="Y48" s="20">
        <v>577015.13046103006</v>
      </c>
      <c r="Z48" s="20">
        <v>333074.76216687338</v>
      </c>
      <c r="AA48" s="20">
        <v>0</v>
      </c>
      <c r="AB48" s="20">
        <v>2237532.2645967202</v>
      </c>
      <c r="AC48" s="20">
        <v>0</v>
      </c>
      <c r="AD48" s="20">
        <v>108611.27308216867</v>
      </c>
      <c r="AE48" s="20">
        <v>101643.44034142041</v>
      </c>
      <c r="AF48" s="20">
        <v>21941.85190323777</v>
      </c>
      <c r="AG48" s="20">
        <v>208348.62675770195</v>
      </c>
      <c r="AH48" s="20">
        <v>0</v>
      </c>
      <c r="AI48" s="20">
        <v>72714.117340037032</v>
      </c>
      <c r="AJ48" s="34">
        <f t="shared" si="8"/>
        <v>3660881.4666491896</v>
      </c>
      <c r="AK48" s="17">
        <f t="shared" si="5"/>
        <v>4508221.8488704134</v>
      </c>
      <c r="AL48" s="21">
        <v>0</v>
      </c>
    </row>
    <row r="49" spans="1:38" s="1" customFormat="1" ht="12.95">
      <c r="A49" s="1" t="s">
        <v>164</v>
      </c>
      <c r="B49" s="6" t="s">
        <v>170</v>
      </c>
      <c r="C49" s="6" t="str">
        <f t="shared" si="12"/>
        <v/>
      </c>
      <c r="D49" s="18">
        <f t="shared" si="13"/>
        <v>5.8358994341158616E-3</v>
      </c>
      <c r="E49" s="17">
        <f>L49-M49</f>
        <v>22263.503945847042</v>
      </c>
      <c r="F49" s="1" t="s">
        <v>158</v>
      </c>
      <c r="G49" s="1" t="s">
        <v>159</v>
      </c>
      <c r="H49" s="1" t="s">
        <v>145</v>
      </c>
      <c r="I49" s="32"/>
      <c r="J49" s="33" t="s">
        <v>68</v>
      </c>
      <c r="K49" s="33" t="s">
        <v>68</v>
      </c>
      <c r="L49" s="17">
        <v>3814922.4806201551</v>
      </c>
      <c r="M49" s="17">
        <f>SUM(S49,AK49)</f>
        <v>3792658.9766743081</v>
      </c>
      <c r="N49" s="21">
        <v>0</v>
      </c>
      <c r="O49" s="21">
        <v>0</v>
      </c>
      <c r="P49" s="21">
        <v>225000</v>
      </c>
      <c r="Q49" s="21">
        <v>0</v>
      </c>
      <c r="R49" s="21">
        <v>20120.794616742074</v>
      </c>
      <c r="S49" s="17">
        <f t="shared" si="14"/>
        <v>245120.79461674206</v>
      </c>
      <c r="T49" s="21">
        <v>220204.62294477358</v>
      </c>
      <c r="U49" s="21">
        <v>200875.01095421956</v>
      </c>
      <c r="V49" s="21">
        <v>245695.97295855841</v>
      </c>
      <c r="W49" s="21" t="s">
        <v>166</v>
      </c>
      <c r="X49" s="17">
        <f t="shared" si="11"/>
        <v>666775.60685755149</v>
      </c>
      <c r="Y49" s="20">
        <v>454055.56238283328</v>
      </c>
      <c r="Z49" s="20">
        <v>262097.89044937718</v>
      </c>
      <c r="AA49" s="20">
        <v>0</v>
      </c>
      <c r="AB49" s="20">
        <v>1760723.2759034447</v>
      </c>
      <c r="AC49" s="20">
        <v>0</v>
      </c>
      <c r="AD49" s="20">
        <v>85466.654299059504</v>
      </c>
      <c r="AE49" s="20">
        <v>79983.638262439927</v>
      </c>
      <c r="AF49" s="20">
        <v>17266.132861516577</v>
      </c>
      <c r="AG49" s="20">
        <v>163950.38518066821</v>
      </c>
      <c r="AH49" s="20">
        <v>0</v>
      </c>
      <c r="AI49" s="20">
        <v>57219.035860675176</v>
      </c>
      <c r="AJ49" s="34">
        <f t="shared" si="8"/>
        <v>2880762.5752000147</v>
      </c>
      <c r="AK49" s="17">
        <f t="shared" si="5"/>
        <v>3547538.182057566</v>
      </c>
      <c r="AL49" s="21">
        <v>0</v>
      </c>
    </row>
    <row r="50" spans="1:38" s="1" customFormat="1" ht="12.95">
      <c r="A50" s="1" t="s">
        <v>164</v>
      </c>
      <c r="B50" s="6" t="s">
        <v>171</v>
      </c>
      <c r="C50" s="6" t="str">
        <f t="shared" si="12"/>
        <v/>
      </c>
      <c r="D50" s="18">
        <f t="shared" si="13"/>
        <v>5.2767462509256948E-3</v>
      </c>
      <c r="E50" s="17">
        <f>L50-M50</f>
        <v>22426.171566434205</v>
      </c>
      <c r="F50" s="1" t="s">
        <v>158</v>
      </c>
      <c r="G50" s="1" t="s">
        <v>159</v>
      </c>
      <c r="H50" s="1" t="s">
        <v>145</v>
      </c>
      <c r="I50" s="32" t="s">
        <v>160</v>
      </c>
      <c r="J50" s="33" t="s">
        <v>68</v>
      </c>
      <c r="K50" s="33" t="s">
        <v>68</v>
      </c>
      <c r="L50" s="17">
        <v>4250000</v>
      </c>
      <c r="M50" s="17">
        <f>SUM(S50,AK50)</f>
        <v>4227573.8284335658</v>
      </c>
      <c r="N50" s="21">
        <v>0</v>
      </c>
      <c r="O50" s="21">
        <v>0</v>
      </c>
      <c r="P50" s="21">
        <v>634000</v>
      </c>
      <c r="Q50" s="21">
        <v>0</v>
      </c>
      <c r="R50" s="21">
        <v>20115.665567059321</v>
      </c>
      <c r="S50" s="17">
        <f t="shared" si="14"/>
        <v>654115.6655670593</v>
      </c>
      <c r="T50" s="21">
        <v>221813.5413856339</v>
      </c>
      <c r="U50" s="21">
        <v>202342.69816764069</v>
      </c>
      <c r="V50" s="21">
        <v>247491.14318001777</v>
      </c>
      <c r="W50" s="21" t="s">
        <v>166</v>
      </c>
      <c r="X50" s="17">
        <f t="shared" si="11"/>
        <v>671647.38273329241</v>
      </c>
      <c r="Y50" s="20">
        <v>457373.10566472961</v>
      </c>
      <c r="Z50" s="20">
        <v>264012.90078665037</v>
      </c>
      <c r="AA50" s="20">
        <v>0</v>
      </c>
      <c r="AB50" s="20">
        <v>1773587.947452886</v>
      </c>
      <c r="AC50" s="20">
        <v>0</v>
      </c>
      <c r="AD50" s="20">
        <v>86091.113832839954</v>
      </c>
      <c r="AE50" s="20">
        <v>80568.036304799898</v>
      </c>
      <c r="AF50" s="20">
        <v>17392.287340890089</v>
      </c>
      <c r="AG50" s="20">
        <v>165148.28372873584</v>
      </c>
      <c r="AH50" s="20">
        <v>0</v>
      </c>
      <c r="AI50" s="20">
        <v>57637.105021682648</v>
      </c>
      <c r="AJ50" s="34">
        <f t="shared" si="8"/>
        <v>2901810.7801332143</v>
      </c>
      <c r="AK50" s="17">
        <f t="shared" si="5"/>
        <v>3573458.1628665067</v>
      </c>
      <c r="AL50" s="21">
        <v>0</v>
      </c>
    </row>
    <row r="51" spans="1:38" s="1" customFormat="1" ht="12.95">
      <c r="A51" s="1" t="s">
        <v>164</v>
      </c>
      <c r="B51" s="6" t="s">
        <v>172</v>
      </c>
      <c r="C51" s="6" t="str">
        <f t="shared" si="12"/>
        <v/>
      </c>
      <c r="D51" s="18">
        <f t="shared" si="13"/>
        <v>4.6378902970533233E-3</v>
      </c>
      <c r="E51" s="17">
        <f>L51-M51</f>
        <v>18390.772817865945</v>
      </c>
      <c r="F51" s="1" t="s">
        <v>158</v>
      </c>
      <c r="G51" s="1" t="s">
        <v>159</v>
      </c>
      <c r="H51" s="1" t="s">
        <v>145</v>
      </c>
      <c r="I51" s="32"/>
      <c r="J51" s="33" t="s">
        <v>68</v>
      </c>
      <c r="K51" s="33" t="s">
        <v>68</v>
      </c>
      <c r="L51" s="17">
        <v>3965331.5710271318</v>
      </c>
      <c r="M51" s="17">
        <f>SUM(S51,AK51)</f>
        <v>3946940.7982092658</v>
      </c>
      <c r="N51" s="21">
        <v>0</v>
      </c>
      <c r="O51" s="21">
        <v>0</v>
      </c>
      <c r="P51" s="21">
        <v>1000000</v>
      </c>
      <c r="Q51" s="21">
        <v>0</v>
      </c>
      <c r="R51" s="21">
        <v>16496.025112638039</v>
      </c>
      <c r="S51" s="17">
        <f t="shared" si="14"/>
        <v>1016496.025112638</v>
      </c>
      <c r="T51" s="21">
        <v>181900.08202983008</v>
      </c>
      <c r="U51" s="21">
        <v>165932.85137106059</v>
      </c>
      <c r="V51" s="21">
        <v>202957.21787262065</v>
      </c>
      <c r="W51" s="21" t="s">
        <v>166</v>
      </c>
      <c r="X51" s="17">
        <f t="shared" si="11"/>
        <v>550790.15127351135</v>
      </c>
      <c r="Y51" s="20">
        <v>375072.70709866943</v>
      </c>
      <c r="Z51" s="20">
        <v>216506.02578195636</v>
      </c>
      <c r="AA51" s="20">
        <v>0</v>
      </c>
      <c r="AB51" s="20">
        <v>1454445.8878095017</v>
      </c>
      <c r="AC51" s="20">
        <v>0</v>
      </c>
      <c r="AD51" s="20">
        <v>70599.750449894171</v>
      </c>
      <c r="AE51" s="20">
        <v>66070.503727030824</v>
      </c>
      <c r="AF51" s="20">
        <v>14262.693225271152</v>
      </c>
      <c r="AG51" s="20">
        <v>135431.25532230615</v>
      </c>
      <c r="AH51" s="20">
        <v>0</v>
      </c>
      <c r="AI51" s="20">
        <v>47265.798408487208</v>
      </c>
      <c r="AJ51" s="34">
        <f t="shared" si="8"/>
        <v>2379654.6218231167</v>
      </c>
      <c r="AK51" s="17">
        <f t="shared" si="5"/>
        <v>2930444.773096628</v>
      </c>
      <c r="AL51" s="21">
        <v>0</v>
      </c>
    </row>
    <row r="52" spans="1:38" s="1" customFormat="1" ht="12.95">
      <c r="A52" s="1" t="s">
        <v>164</v>
      </c>
      <c r="B52" s="6" t="s">
        <v>173</v>
      </c>
      <c r="C52" s="6" t="str">
        <f t="shared" si="12"/>
        <v/>
      </c>
      <c r="D52" s="18">
        <f t="shared" si="13"/>
        <v>4.8274706433627194E-3</v>
      </c>
      <c r="E52" s="17">
        <f>L52-M52</f>
        <v>6534.8609387381002</v>
      </c>
      <c r="F52" s="1" t="s">
        <v>158</v>
      </c>
      <c r="G52" s="1" t="s">
        <v>159</v>
      </c>
      <c r="H52" s="1" t="s">
        <v>145</v>
      </c>
      <c r="I52" s="32"/>
      <c r="J52" s="33" t="s">
        <v>68</v>
      </c>
      <c r="K52" s="33" t="s">
        <v>68</v>
      </c>
      <c r="L52" s="17">
        <v>1353682.1705426357</v>
      </c>
      <c r="M52" s="17">
        <f>SUM(S52,AK52)</f>
        <v>1347147.3096038976</v>
      </c>
      <c r="N52" s="21">
        <v>0</v>
      </c>
      <c r="O52" s="21">
        <v>0</v>
      </c>
      <c r="P52" s="21">
        <v>300000</v>
      </c>
      <c r="Q52" s="21">
        <v>0</v>
      </c>
      <c r="R52" s="21">
        <v>5861.5914618446359</v>
      </c>
      <c r="S52" s="17">
        <f t="shared" si="14"/>
        <v>305861.59146184463</v>
      </c>
      <c r="T52" s="21">
        <v>64635.225098058654</v>
      </c>
      <c r="U52" s="21">
        <v>58961.530307459587</v>
      </c>
      <c r="V52" s="21">
        <v>72117.534616181729</v>
      </c>
      <c r="W52" s="21" t="s">
        <v>166</v>
      </c>
      <c r="X52" s="17">
        <f t="shared" si="11"/>
        <v>195714.29002169997</v>
      </c>
      <c r="Y52" s="20">
        <v>133275.96436974168</v>
      </c>
      <c r="Z52" s="20">
        <v>76931.882357304014</v>
      </c>
      <c r="AA52" s="20">
        <v>0</v>
      </c>
      <c r="AB52" s="20">
        <v>516813.606142829</v>
      </c>
      <c r="AC52" s="20">
        <v>0</v>
      </c>
      <c r="AD52" s="20">
        <v>25086.468962929579</v>
      </c>
      <c r="AE52" s="20">
        <v>23477.075068269827</v>
      </c>
      <c r="AF52" s="20">
        <v>5068.0152357972975</v>
      </c>
      <c r="AG52" s="20">
        <v>48123.286011681892</v>
      </c>
      <c r="AH52" s="20">
        <v>0</v>
      </c>
      <c r="AI52" s="20">
        <v>16795.129971799754</v>
      </c>
      <c r="AJ52" s="34">
        <f t="shared" si="8"/>
        <v>845571.42812035303</v>
      </c>
      <c r="AK52" s="17">
        <f t="shared" si="5"/>
        <v>1041285.718142053</v>
      </c>
      <c r="AL52" s="21">
        <v>0</v>
      </c>
    </row>
    <row r="53" spans="1:38" s="1" customFormat="1" ht="12.95">
      <c r="A53" s="1" t="s">
        <v>164</v>
      </c>
      <c r="B53" s="6" t="s">
        <v>174</v>
      </c>
      <c r="C53" s="6" t="str">
        <f t="shared" si="12"/>
        <v/>
      </c>
      <c r="D53" s="18">
        <f t="shared" si="13"/>
        <v>5.9184461539862369E-3</v>
      </c>
      <c r="E53" s="17">
        <f>L53-M53</f>
        <v>16185.242335052229</v>
      </c>
      <c r="F53" s="1" t="s">
        <v>158</v>
      </c>
      <c r="G53" s="1" t="s">
        <v>159</v>
      </c>
      <c r="H53" s="1" t="s">
        <v>145</v>
      </c>
      <c r="I53" s="32"/>
      <c r="J53" s="33" t="s">
        <v>68</v>
      </c>
      <c r="K53" s="33" t="s">
        <v>68</v>
      </c>
      <c r="L53" s="17">
        <v>2734711.4282945739</v>
      </c>
      <c r="M53" s="17">
        <f>SUM(S53,AK53)</f>
        <v>2718526.1859595217</v>
      </c>
      <c r="N53" s="21">
        <v>0</v>
      </c>
      <c r="O53" s="21">
        <v>0</v>
      </c>
      <c r="P53" s="21">
        <v>125000</v>
      </c>
      <c r="Q53" s="21">
        <v>0</v>
      </c>
      <c r="R53" s="21">
        <v>14517.719497421447</v>
      </c>
      <c r="S53" s="17">
        <f t="shared" si="14"/>
        <v>139517.71949742144</v>
      </c>
      <c r="T53" s="21">
        <v>160085.5460276622</v>
      </c>
      <c r="U53" s="21">
        <v>146033.20031107502</v>
      </c>
      <c r="V53" s="21">
        <v>178617.3853295212</v>
      </c>
      <c r="W53" s="21" t="s">
        <v>166</v>
      </c>
      <c r="X53" s="17">
        <f t="shared" si="11"/>
        <v>484736.1316682584</v>
      </c>
      <c r="Y53" s="20">
        <v>330091.76491804578</v>
      </c>
      <c r="Z53" s="20">
        <v>190541.3398873549</v>
      </c>
      <c r="AA53" s="20">
        <v>0</v>
      </c>
      <c r="AB53" s="20">
        <v>1280020.1160958733</v>
      </c>
      <c r="AC53" s="20">
        <v>0</v>
      </c>
      <c r="AD53" s="20">
        <v>62133.009914391158</v>
      </c>
      <c r="AE53" s="20">
        <v>58146.937304458675</v>
      </c>
      <c r="AF53" s="20">
        <v>12552.226515313703</v>
      </c>
      <c r="AG53" s="20">
        <v>119189.53645071846</v>
      </c>
      <c r="AH53" s="20">
        <v>0</v>
      </c>
      <c r="AI53" s="20">
        <v>41597.403707686222</v>
      </c>
      <c r="AJ53" s="34">
        <f t="shared" si="8"/>
        <v>2094272.3347938422</v>
      </c>
      <c r="AK53" s="17">
        <f t="shared" si="5"/>
        <v>2579008.4664621004</v>
      </c>
      <c r="AL53" s="21">
        <v>0</v>
      </c>
    </row>
    <row r="54" spans="1:38" s="1" customFormat="1" ht="12.95">
      <c r="A54" s="1" t="s">
        <v>164</v>
      </c>
      <c r="B54" s="6" t="s">
        <v>175</v>
      </c>
      <c r="C54" s="6" t="str">
        <f t="shared" si="12"/>
        <v/>
      </c>
      <c r="D54" s="18">
        <f t="shared" si="13"/>
        <v>4.5525791613949731E-3</v>
      </c>
      <c r="E54" s="17">
        <f>L54-M54</f>
        <v>6847.4946434854064</v>
      </c>
      <c r="F54" s="1" t="s">
        <v>158</v>
      </c>
      <c r="G54" s="1" t="s">
        <v>159</v>
      </c>
      <c r="H54" s="1" t="s">
        <v>145</v>
      </c>
      <c r="I54" s="32"/>
      <c r="J54" s="33" t="s">
        <v>68</v>
      </c>
      <c r="K54" s="33" t="s">
        <v>68</v>
      </c>
      <c r="L54" s="17">
        <v>1504091.2855620154</v>
      </c>
      <c r="M54" s="17">
        <f>SUM(S54,AK54)</f>
        <v>1497243.79091853</v>
      </c>
      <c r="N54" s="21">
        <v>0</v>
      </c>
      <c r="O54" s="21">
        <v>0</v>
      </c>
      <c r="P54" s="21">
        <v>400000</v>
      </c>
      <c r="Q54" s="21">
        <v>0</v>
      </c>
      <c r="R54" s="21">
        <v>6142.014743252239</v>
      </c>
      <c r="S54" s="17">
        <f t="shared" si="14"/>
        <v>406142.01474325225</v>
      </c>
      <c r="T54" s="21">
        <v>67727.433190781361</v>
      </c>
      <c r="U54" s="21">
        <v>61782.303669035122</v>
      </c>
      <c r="V54" s="21">
        <v>75567.703217421207</v>
      </c>
      <c r="W54" s="21" t="s">
        <v>166</v>
      </c>
      <c r="X54" s="17">
        <f t="shared" si="11"/>
        <v>205077.44007723767</v>
      </c>
      <c r="Y54" s="20">
        <v>139652.00800483866</v>
      </c>
      <c r="Z54" s="20">
        <v>80612.373743428892</v>
      </c>
      <c r="AA54" s="20">
        <v>0</v>
      </c>
      <c r="AB54" s="20">
        <v>541538.44020845776</v>
      </c>
      <c r="AC54" s="20">
        <v>0</v>
      </c>
      <c r="AD54" s="20">
        <v>26286.628507934984</v>
      </c>
      <c r="AE54" s="20">
        <v>24600.239742167483</v>
      </c>
      <c r="AF54" s="20">
        <v>5310.4737048812876</v>
      </c>
      <c r="AG54" s="20">
        <v>50425.547885574582</v>
      </c>
      <c r="AH54" s="20">
        <v>0</v>
      </c>
      <c r="AI54" s="20">
        <v>17598.624300756437</v>
      </c>
      <c r="AJ54" s="34">
        <f t="shared" si="8"/>
        <v>886024.33609804022</v>
      </c>
      <c r="AK54" s="17">
        <f t="shared" si="5"/>
        <v>1091101.7761752778</v>
      </c>
      <c r="AL54" s="21">
        <v>0</v>
      </c>
    </row>
    <row r="55" spans="1:38" s="1" customFormat="1" ht="12.95">
      <c r="A55" s="1" t="s">
        <v>164</v>
      </c>
      <c r="B55" s="6" t="s">
        <v>176</v>
      </c>
      <c r="C55" s="6" t="str">
        <f t="shared" si="12"/>
        <v/>
      </c>
      <c r="D55" s="18">
        <f t="shared" si="13"/>
        <v>5.3514824771756066E-3</v>
      </c>
      <c r="E55" s="17">
        <f>L55-M55</f>
        <v>5853.9041154601146</v>
      </c>
      <c r="F55" s="1" t="s">
        <v>158</v>
      </c>
      <c r="G55" s="1" t="s">
        <v>159</v>
      </c>
      <c r="H55" s="1" t="s">
        <v>145</v>
      </c>
      <c r="I55" s="32"/>
      <c r="J55" s="33" t="s">
        <v>68</v>
      </c>
      <c r="K55" s="33" t="s">
        <v>68</v>
      </c>
      <c r="L55" s="17">
        <v>1093884.5713178294</v>
      </c>
      <c r="M55" s="17">
        <f>SUM(S55,AK55)</f>
        <v>1088030.6672023693</v>
      </c>
      <c r="N55" s="21">
        <v>0</v>
      </c>
      <c r="O55" s="21">
        <v>0</v>
      </c>
      <c r="P55" s="21">
        <v>150000</v>
      </c>
      <c r="Q55" s="21">
        <v>0</v>
      </c>
      <c r="R55" s="21">
        <v>5250.795075709013</v>
      </c>
      <c r="S55" s="17">
        <f t="shared" si="14"/>
        <v>155250.795075709</v>
      </c>
      <c r="T55" s="21">
        <v>57899.994162428513</v>
      </c>
      <c r="U55" s="21">
        <v>52817.519478435286</v>
      </c>
      <c r="V55" s="21">
        <v>64602.619190245146</v>
      </c>
      <c r="W55" s="21" t="s">
        <v>166</v>
      </c>
      <c r="X55" s="17">
        <f t="shared" si="11"/>
        <v>175320.13283110893</v>
      </c>
      <c r="Y55" s="20">
        <v>119388.11301876084</v>
      </c>
      <c r="Z55" s="20">
        <v>68915.29398458502</v>
      </c>
      <c r="AA55" s="20">
        <v>0</v>
      </c>
      <c r="AB55" s="20">
        <v>462959.705537286</v>
      </c>
      <c r="AC55" s="20">
        <v>0</v>
      </c>
      <c r="AD55" s="20">
        <v>22472.365560821625</v>
      </c>
      <c r="AE55" s="20">
        <v>21030.676497861332</v>
      </c>
      <c r="AF55" s="20">
        <v>4539.9091922799817</v>
      </c>
      <c r="AG55" s="20">
        <v>43108.66056281358</v>
      </c>
      <c r="AH55" s="20">
        <v>0</v>
      </c>
      <c r="AI55" s="20">
        <v>15045.014941143007</v>
      </c>
      <c r="AJ55" s="34">
        <f t="shared" si="8"/>
        <v>757459.73929555132</v>
      </c>
      <c r="AK55" s="17">
        <f t="shared" si="5"/>
        <v>932779.87212666031</v>
      </c>
      <c r="AL55" s="21">
        <v>0</v>
      </c>
    </row>
    <row r="56" spans="1:38" s="1" customFormat="1" ht="12.95">
      <c r="A56" s="1" t="s">
        <v>164</v>
      </c>
      <c r="B56" s="6" t="s">
        <v>177</v>
      </c>
      <c r="C56" s="6" t="str">
        <f t="shared" si="12"/>
        <v/>
      </c>
      <c r="D56" s="18">
        <f t="shared" si="13"/>
        <v>6.2019279774394595E-3</v>
      </c>
      <c r="E56" s="17">
        <f>L56-M56</f>
        <v>5936.1691610772396</v>
      </c>
      <c r="F56" s="1" t="s">
        <v>158</v>
      </c>
      <c r="G56" s="1" t="s">
        <v>159</v>
      </c>
      <c r="H56" s="1" t="s">
        <v>145</v>
      </c>
      <c r="I56" s="32"/>
      <c r="J56" s="33" t="s">
        <v>68</v>
      </c>
      <c r="K56" s="33" t="s">
        <v>68</v>
      </c>
      <c r="L56" s="17">
        <v>957148.99990310078</v>
      </c>
      <c r="M56" s="17">
        <f>SUM(S56,AK56)</f>
        <v>951212.83074202354</v>
      </c>
      <c r="N56" s="21">
        <v>0</v>
      </c>
      <c r="O56" s="21">
        <v>0</v>
      </c>
      <c r="P56" s="21">
        <v>0</v>
      </c>
      <c r="Q56" s="21">
        <v>0</v>
      </c>
      <c r="R56" s="21">
        <v>5324.5821852448189</v>
      </c>
      <c r="S56" s="17">
        <f t="shared" si="14"/>
        <v>5324.5821852448189</v>
      </c>
      <c r="T56" s="21">
        <v>58713.664076909386</v>
      </c>
      <c r="U56" s="21">
        <v>53559.765262373505</v>
      </c>
      <c r="V56" s="21">
        <v>65510.48124432937</v>
      </c>
      <c r="W56" s="21" t="s">
        <v>166</v>
      </c>
      <c r="X56" s="17">
        <f t="shared" si="11"/>
        <v>177783.91058361225</v>
      </c>
      <c r="Y56" s="20">
        <v>121065.87684439251</v>
      </c>
      <c r="Z56" s="20">
        <v>69883.762154124968</v>
      </c>
      <c r="AA56" s="20">
        <v>0</v>
      </c>
      <c r="AB56" s="20">
        <v>469465.68864595186</v>
      </c>
      <c r="AC56" s="20">
        <v>0</v>
      </c>
      <c r="AD56" s="20">
        <v>22788.170217256666</v>
      </c>
      <c r="AE56" s="20">
        <v>21326.221065611804</v>
      </c>
      <c r="AF56" s="20">
        <v>4603.7086378182757</v>
      </c>
      <c r="AG56" s="20">
        <v>43714.467535006515</v>
      </c>
      <c r="AH56" s="20">
        <v>0</v>
      </c>
      <c r="AI56" s="20">
        <v>15256.442873003954</v>
      </c>
      <c r="AJ56" s="34">
        <f t="shared" si="8"/>
        <v>768104.33797316649</v>
      </c>
      <c r="AK56" s="17">
        <f t="shared" si="5"/>
        <v>945888.24855677877</v>
      </c>
      <c r="AL56" s="21">
        <v>0</v>
      </c>
    </row>
    <row r="57" spans="1:38" s="1" customFormat="1" ht="12.95">
      <c r="A57" s="1" t="s">
        <v>164</v>
      </c>
      <c r="B57" s="6" t="s">
        <v>178</v>
      </c>
      <c r="C57" s="6" t="str">
        <f t="shared" si="12"/>
        <v/>
      </c>
      <c r="D57" s="18">
        <f t="shared" si="13"/>
        <v>3.255894090176013E-3</v>
      </c>
      <c r="E57" s="17">
        <f>L57-M57</f>
        <v>2225.9826944302768</v>
      </c>
      <c r="F57" s="1" t="s">
        <v>158</v>
      </c>
      <c r="G57" s="1" t="s">
        <v>159</v>
      </c>
      <c r="H57" s="1" t="s">
        <v>145</v>
      </c>
      <c r="I57" s="32"/>
      <c r="J57" s="33" t="s">
        <v>68</v>
      </c>
      <c r="K57" s="33" t="s">
        <v>68</v>
      </c>
      <c r="L57" s="17">
        <v>683677.85707364348</v>
      </c>
      <c r="M57" s="17">
        <f>SUM(S57,AK57)</f>
        <v>681451.8743792132</v>
      </c>
      <c r="N57" s="21">
        <v>0</v>
      </c>
      <c r="O57" s="21">
        <v>0</v>
      </c>
      <c r="P57" s="21">
        <v>324760</v>
      </c>
      <c r="Q57" s="21">
        <v>0</v>
      </c>
      <c r="R57" s="21">
        <v>1996.6466963489486</v>
      </c>
      <c r="S57" s="17">
        <f t="shared" si="14"/>
        <v>326756.64669634897</v>
      </c>
      <c r="T57" s="21">
        <v>22016.825433268394</v>
      </c>
      <c r="U57" s="21">
        <v>20084.18347871882</v>
      </c>
      <c r="V57" s="21">
        <v>24565.539423948787</v>
      </c>
      <c r="W57" s="21" t="s">
        <v>166</v>
      </c>
      <c r="X57" s="17">
        <f t="shared" si="11"/>
        <v>66666.548335936008</v>
      </c>
      <c r="Y57" s="20">
        <v>45398.057135678391</v>
      </c>
      <c r="Z57" s="20">
        <v>26205.460281817403</v>
      </c>
      <c r="AA57" s="20">
        <v>0</v>
      </c>
      <c r="AB57" s="20">
        <v>176043.24779130929</v>
      </c>
      <c r="AC57" s="20">
        <v>0</v>
      </c>
      <c r="AD57" s="20">
        <v>8545.2538775256089</v>
      </c>
      <c r="AE57" s="20">
        <v>7997.0428304017696</v>
      </c>
      <c r="AF57" s="20">
        <v>1726.3281217078186</v>
      </c>
      <c r="AG57" s="20">
        <v>16392.330742053382</v>
      </c>
      <c r="AH57" s="20">
        <v>0</v>
      </c>
      <c r="AI57" s="20">
        <v>5720.9585664346278</v>
      </c>
      <c r="AJ57" s="34">
        <f t="shared" si="8"/>
        <v>288028.67934692831</v>
      </c>
      <c r="AK57" s="17">
        <f t="shared" si="5"/>
        <v>354695.22768286429</v>
      </c>
      <c r="AL57" s="21">
        <v>0</v>
      </c>
    </row>
    <row r="58" spans="1:38" s="1" customFormat="1" ht="12.95">
      <c r="A58" s="1" t="s">
        <v>164</v>
      </c>
      <c r="B58" s="6" t="s">
        <v>179</v>
      </c>
      <c r="C58" s="6" t="str">
        <f t="shared" si="12"/>
        <v/>
      </c>
      <c r="D58" s="18">
        <f t="shared" si="13"/>
        <v>6.201927995563003E-3</v>
      </c>
      <c r="E58" s="17">
        <f>L58-M58</f>
        <v>3392.0966733852401</v>
      </c>
      <c r="F58" s="1" t="s">
        <v>158</v>
      </c>
      <c r="G58" s="1" t="s">
        <v>159</v>
      </c>
      <c r="H58" s="1" t="s">
        <v>145</v>
      </c>
      <c r="I58" s="32"/>
      <c r="J58" s="33" t="s">
        <v>68</v>
      </c>
      <c r="K58" s="33" t="s">
        <v>68</v>
      </c>
      <c r="L58" s="17">
        <v>546942.28565891471</v>
      </c>
      <c r="M58" s="17">
        <f>SUM(S58,AK58)</f>
        <v>543550.18898552947</v>
      </c>
      <c r="N58" s="21">
        <v>0</v>
      </c>
      <c r="O58" s="21">
        <v>0</v>
      </c>
      <c r="P58" s="21">
        <v>0</v>
      </c>
      <c r="Q58" s="21">
        <v>0</v>
      </c>
      <c r="R58" s="21">
        <v>3042.6168021511508</v>
      </c>
      <c r="S58" s="17">
        <f t="shared" si="14"/>
        <v>3042.6168021511508</v>
      </c>
      <c r="T58" s="21">
        <v>33550.665284849187</v>
      </c>
      <c r="U58" s="21">
        <v>30605.580239365234</v>
      </c>
      <c r="V58" s="21">
        <v>37434.560820438935</v>
      </c>
      <c r="W58" s="21" t="s">
        <v>166</v>
      </c>
      <c r="X58" s="17">
        <f t="shared" si="11"/>
        <v>101590.80634465336</v>
      </c>
      <c r="Y58" s="20">
        <v>69180.501256102099</v>
      </c>
      <c r="Z58" s="20">
        <v>39933.578490482068</v>
      </c>
      <c r="AA58" s="20">
        <v>0</v>
      </c>
      <c r="AB58" s="20">
        <v>268266.10858163057</v>
      </c>
      <c r="AC58" s="20">
        <v>0</v>
      </c>
      <c r="AD58" s="20">
        <v>13021.811590771236</v>
      </c>
      <c r="AE58" s="20">
        <v>12186.412073104344</v>
      </c>
      <c r="AF58" s="20">
        <v>2630.6906578694384</v>
      </c>
      <c r="AG58" s="20">
        <v>24979.695807286644</v>
      </c>
      <c r="AH58" s="20">
        <v>0</v>
      </c>
      <c r="AI58" s="20">
        <v>8717.9673814784419</v>
      </c>
      <c r="AJ58" s="34">
        <f t="shared" si="8"/>
        <v>438916.76583872491</v>
      </c>
      <c r="AK58" s="17">
        <f t="shared" si="5"/>
        <v>540507.57218337827</v>
      </c>
      <c r="AL58" s="21">
        <v>0</v>
      </c>
    </row>
    <row r="59" spans="1:38" s="1" customFormat="1" ht="12.95">
      <c r="A59" s="1" t="s">
        <v>164</v>
      </c>
      <c r="B59" s="1" t="s">
        <v>180</v>
      </c>
      <c r="C59" s="19" t="s">
        <v>148</v>
      </c>
      <c r="D59" s="18"/>
      <c r="E59" s="17">
        <f>L59-M59</f>
        <v>-273206.5</v>
      </c>
      <c r="F59" s="1" t="s">
        <v>158</v>
      </c>
      <c r="G59" s="1" t="s">
        <v>159</v>
      </c>
      <c r="H59" s="1" t="s">
        <v>145</v>
      </c>
      <c r="I59" s="32"/>
      <c r="J59" s="33" t="s">
        <v>68</v>
      </c>
      <c r="K59" s="33" t="s">
        <v>68</v>
      </c>
      <c r="L59" s="17">
        <v>0</v>
      </c>
      <c r="M59" s="17">
        <f>AL59</f>
        <v>273206.5</v>
      </c>
      <c r="N59" s="21">
        <v>0</v>
      </c>
      <c r="O59" s="21">
        <v>0</v>
      </c>
      <c r="P59" s="21">
        <v>0</v>
      </c>
      <c r="Q59" s="21">
        <v>0</v>
      </c>
      <c r="R59" s="21">
        <v>0</v>
      </c>
      <c r="S59" s="17">
        <f t="shared" si="14"/>
        <v>0</v>
      </c>
      <c r="T59" s="21">
        <v>0</v>
      </c>
      <c r="U59" s="21">
        <v>0</v>
      </c>
      <c r="V59" s="21">
        <v>0</v>
      </c>
      <c r="W59" s="21"/>
      <c r="X59" s="17">
        <f t="shared" si="11"/>
        <v>0</v>
      </c>
      <c r="Y59" s="20">
        <v>0</v>
      </c>
      <c r="Z59" s="20">
        <v>0</v>
      </c>
      <c r="AA59" s="20">
        <v>0</v>
      </c>
      <c r="AB59" s="20">
        <v>0</v>
      </c>
      <c r="AC59" s="20">
        <v>0</v>
      </c>
      <c r="AD59" s="20">
        <v>0</v>
      </c>
      <c r="AE59" s="20">
        <v>0</v>
      </c>
      <c r="AF59" s="20">
        <v>0</v>
      </c>
      <c r="AG59" s="20">
        <v>0</v>
      </c>
      <c r="AH59" s="20">
        <v>0</v>
      </c>
      <c r="AI59" s="20">
        <v>0</v>
      </c>
      <c r="AJ59" s="34">
        <f t="shared" si="8"/>
        <v>0</v>
      </c>
      <c r="AK59" s="17">
        <f t="shared" si="5"/>
        <v>0</v>
      </c>
      <c r="AL59" s="21">
        <v>273206.5</v>
      </c>
    </row>
    <row r="60" spans="1:38" s="1" customFormat="1" ht="12.95">
      <c r="A60" s="1" t="s">
        <v>181</v>
      </c>
      <c r="B60" s="6" t="s">
        <v>182</v>
      </c>
      <c r="C60" s="6" t="str">
        <f t="shared" ref="C60:C70" si="15">IF(D60&gt;0.02, "Variance exceeds +/- 2%", IF(D60&lt;-0.02,"Variance exceeds +/- 2%", ""))</f>
        <v/>
      </c>
      <c r="D60" s="18">
        <f t="shared" ref="D60:D70" si="16">E60/L60</f>
        <v>-1.0400000113685757E-7</v>
      </c>
      <c r="E60" s="17">
        <f>L60-M60</f>
        <v>-0.52000000048428774</v>
      </c>
      <c r="F60" s="1" t="s">
        <v>183</v>
      </c>
      <c r="G60" s="1" t="s">
        <v>184</v>
      </c>
      <c r="H60" s="1" t="s">
        <v>185</v>
      </c>
      <c r="I60" s="32"/>
      <c r="J60" s="33" t="s">
        <v>68</v>
      </c>
      <c r="K60" s="33" t="s">
        <v>68</v>
      </c>
      <c r="L60" s="17">
        <v>4999999.9499999993</v>
      </c>
      <c r="M60" s="17">
        <f>SUM(S60,AK60)</f>
        <v>5000000.47</v>
      </c>
      <c r="N60" s="21">
        <v>0</v>
      </c>
      <c r="O60" s="21">
        <v>0</v>
      </c>
      <c r="P60" s="21">
        <v>0</v>
      </c>
      <c r="Q60" s="21">
        <v>0</v>
      </c>
      <c r="R60" s="21">
        <v>26800</v>
      </c>
      <c r="S60" s="17">
        <f t="shared" si="14"/>
        <v>26800</v>
      </c>
      <c r="T60" s="21">
        <v>0</v>
      </c>
      <c r="U60" s="21">
        <v>0</v>
      </c>
      <c r="V60" s="21">
        <v>0</v>
      </c>
      <c r="W60" s="21"/>
      <c r="X60" s="17">
        <f t="shared" si="11"/>
        <v>0</v>
      </c>
      <c r="Y60" s="20">
        <v>485002.35</v>
      </c>
      <c r="Z60" s="20">
        <v>15010.38</v>
      </c>
      <c r="AA60" s="20">
        <v>3423186.2699999996</v>
      </c>
      <c r="AB60" s="20">
        <v>1050001.4700000002</v>
      </c>
      <c r="AC60" s="20">
        <v>0</v>
      </c>
      <c r="AD60" s="20">
        <v>0</v>
      </c>
      <c r="AE60" s="20">
        <v>0</v>
      </c>
      <c r="AF60" s="20">
        <v>0</v>
      </c>
      <c r="AG60" s="20">
        <v>0</v>
      </c>
      <c r="AH60" s="20">
        <v>0</v>
      </c>
      <c r="AI60" s="20">
        <v>0</v>
      </c>
      <c r="AJ60" s="34">
        <f t="shared" si="8"/>
        <v>4973200.47</v>
      </c>
      <c r="AK60" s="17">
        <f t="shared" si="5"/>
        <v>4973200.47</v>
      </c>
      <c r="AL60" s="21">
        <v>0</v>
      </c>
    </row>
    <row r="61" spans="1:38" s="1" customFormat="1" ht="12.95">
      <c r="A61" s="1" t="s">
        <v>186</v>
      </c>
      <c r="B61" s="6" t="s">
        <v>187</v>
      </c>
      <c r="C61" s="6" t="str">
        <f t="shared" si="15"/>
        <v/>
      </c>
      <c r="D61" s="18">
        <f t="shared" si="16"/>
        <v>3.4170078737734577E-6</v>
      </c>
      <c r="E61" s="17">
        <f>L61-M61</f>
        <v>4.2050387593917549</v>
      </c>
      <c r="F61" s="1" t="s">
        <v>73</v>
      </c>
      <c r="G61" s="1" t="s">
        <v>74</v>
      </c>
      <c r="H61" s="35" t="s">
        <v>67</v>
      </c>
      <c r="I61" s="32"/>
      <c r="J61" s="33" t="s">
        <v>68</v>
      </c>
      <c r="K61" s="33" t="s">
        <v>68</v>
      </c>
      <c r="L61" s="17">
        <v>1230620.1550387596</v>
      </c>
      <c r="M61" s="17">
        <f>SUM(S61,AK61)</f>
        <v>1230615.9500000002</v>
      </c>
      <c r="N61" s="21">
        <v>0</v>
      </c>
      <c r="O61" s="21">
        <v>0</v>
      </c>
      <c r="P61" s="21">
        <v>0</v>
      </c>
      <c r="Q61" s="21">
        <v>0</v>
      </c>
      <c r="R61" s="21">
        <v>6800</v>
      </c>
      <c r="S61" s="17">
        <f t="shared" si="14"/>
        <v>6800</v>
      </c>
      <c r="T61" s="21">
        <v>0</v>
      </c>
      <c r="U61" s="21">
        <v>61241.04</v>
      </c>
      <c r="V61" s="21">
        <v>6042.3300000000008</v>
      </c>
      <c r="W61" s="21" t="s">
        <v>69</v>
      </c>
      <c r="X61" s="17">
        <f t="shared" si="11"/>
        <v>67283.37</v>
      </c>
      <c r="Y61" s="20">
        <v>0</v>
      </c>
      <c r="Z61" s="20">
        <v>1156532.58</v>
      </c>
      <c r="AA61" s="20">
        <v>0</v>
      </c>
      <c r="AB61" s="20">
        <v>0</v>
      </c>
      <c r="AC61" s="20">
        <v>0</v>
      </c>
      <c r="AD61" s="20">
        <v>0</v>
      </c>
      <c r="AE61" s="20">
        <v>0</v>
      </c>
      <c r="AF61" s="20">
        <v>0</v>
      </c>
      <c r="AG61" s="20">
        <v>0</v>
      </c>
      <c r="AH61" s="20">
        <v>0</v>
      </c>
      <c r="AI61" s="20">
        <v>0</v>
      </c>
      <c r="AJ61" s="34">
        <f t="shared" si="8"/>
        <v>1156532.58</v>
      </c>
      <c r="AK61" s="17">
        <f t="shared" si="5"/>
        <v>1223815.9500000002</v>
      </c>
      <c r="AL61" s="21">
        <v>0</v>
      </c>
    </row>
    <row r="62" spans="1:38" s="1" customFormat="1" ht="12.95">
      <c r="A62" s="1" t="s">
        <v>188</v>
      </c>
      <c r="B62" s="6" t="s">
        <v>189</v>
      </c>
      <c r="C62" s="6" t="str">
        <f t="shared" si="15"/>
        <v/>
      </c>
      <c r="D62" s="18">
        <f t="shared" si="16"/>
        <v>-1.2060377358827951E-6</v>
      </c>
      <c r="E62" s="17">
        <f>L62-M62</f>
        <v>-7.9900000002235174</v>
      </c>
      <c r="F62" s="1" t="s">
        <v>108</v>
      </c>
      <c r="G62" s="1" t="s">
        <v>190</v>
      </c>
      <c r="H62" s="35" t="s">
        <v>185</v>
      </c>
      <c r="I62" s="32"/>
      <c r="J62" s="33" t="s">
        <v>68</v>
      </c>
      <c r="K62" s="33" t="s">
        <v>68</v>
      </c>
      <c r="L62" s="17">
        <v>6625000</v>
      </c>
      <c r="M62" s="17">
        <f>SUM(S62,AK62)</f>
        <v>6625007.9900000002</v>
      </c>
      <c r="N62" s="21">
        <v>0</v>
      </c>
      <c r="O62" s="21">
        <v>0</v>
      </c>
      <c r="P62" s="21">
        <v>0</v>
      </c>
      <c r="Q62" s="21">
        <v>0</v>
      </c>
      <c r="R62" s="21">
        <v>36800</v>
      </c>
      <c r="S62" s="17">
        <f t="shared" si="14"/>
        <v>36800</v>
      </c>
      <c r="T62" s="21">
        <v>0</v>
      </c>
      <c r="U62" s="21">
        <v>329411.87999999995</v>
      </c>
      <c r="V62" s="21">
        <v>32944.589999999997</v>
      </c>
      <c r="W62" s="21" t="s">
        <v>69</v>
      </c>
      <c r="X62" s="17">
        <f t="shared" si="11"/>
        <v>362356.47</v>
      </c>
      <c r="Y62" s="20">
        <v>484630.02000000008</v>
      </c>
      <c r="Z62" s="20">
        <v>0</v>
      </c>
      <c r="AA62" s="20">
        <v>5476862.79</v>
      </c>
      <c r="AB62" s="20">
        <v>104889.96</v>
      </c>
      <c r="AC62" s="20">
        <v>0</v>
      </c>
      <c r="AD62" s="20">
        <v>159468.75</v>
      </c>
      <c r="AE62" s="20">
        <v>0</v>
      </c>
      <c r="AF62" s="20">
        <v>0</v>
      </c>
      <c r="AG62" s="20">
        <v>0</v>
      </c>
      <c r="AH62" s="20">
        <v>0</v>
      </c>
      <c r="AI62" s="20">
        <v>0</v>
      </c>
      <c r="AJ62" s="34">
        <f t="shared" si="8"/>
        <v>6225851.5200000005</v>
      </c>
      <c r="AK62" s="17">
        <f t="shared" si="5"/>
        <v>6588207.9900000002</v>
      </c>
      <c r="AL62" s="21">
        <v>0</v>
      </c>
    </row>
    <row r="63" spans="1:38" s="1" customFormat="1" ht="12.95">
      <c r="A63" s="1" t="s">
        <v>191</v>
      </c>
      <c r="B63" s="6" t="s">
        <v>192</v>
      </c>
      <c r="C63" s="6" t="str">
        <f t="shared" si="15"/>
        <v/>
      </c>
      <c r="D63" s="18">
        <f t="shared" si="16"/>
        <v>3.5259972810745242E-7</v>
      </c>
      <c r="E63" s="17">
        <f>L63-M63</f>
        <v>12.340990483760834</v>
      </c>
      <c r="F63" s="1" t="s">
        <v>193</v>
      </c>
      <c r="G63" s="1" t="s">
        <v>194</v>
      </c>
      <c r="H63" s="1" t="s">
        <v>99</v>
      </c>
      <c r="I63" s="32" t="s">
        <v>195</v>
      </c>
      <c r="J63" s="33" t="s">
        <v>68</v>
      </c>
      <c r="K63" s="33" t="s">
        <v>68</v>
      </c>
      <c r="L63" s="17">
        <v>35000000</v>
      </c>
      <c r="M63" s="17">
        <f>SUM(S63,AK63)</f>
        <v>34999987.659009516</v>
      </c>
      <c r="N63" s="21">
        <v>2168691</v>
      </c>
      <c r="O63" s="21">
        <v>3292507</v>
      </c>
      <c r="P63" s="21">
        <v>400000</v>
      </c>
      <c r="Q63" s="21">
        <v>0</v>
      </c>
      <c r="R63" s="21">
        <v>0</v>
      </c>
      <c r="S63" s="17">
        <f t="shared" si="14"/>
        <v>5861198</v>
      </c>
      <c r="T63" s="21">
        <v>155734.43993699551</v>
      </c>
      <c r="U63" s="21">
        <v>3018190.6196661573</v>
      </c>
      <c r="V63" s="21">
        <v>406042.89037687669</v>
      </c>
      <c r="W63" s="21" t="s">
        <v>101</v>
      </c>
      <c r="X63" s="17">
        <f t="shared" si="11"/>
        <v>3579967.9499800294</v>
      </c>
      <c r="Y63" s="20">
        <v>5827925.1431759559</v>
      </c>
      <c r="Z63" s="20">
        <v>1561268.1279118338</v>
      </c>
      <c r="AA63" s="20">
        <v>1664121.6894933386</v>
      </c>
      <c r="AB63" s="20">
        <v>0</v>
      </c>
      <c r="AC63" s="20">
        <v>0</v>
      </c>
      <c r="AD63" s="20">
        <v>1829421.2726681435</v>
      </c>
      <c r="AE63" s="20">
        <v>13999901.133123798</v>
      </c>
      <c r="AF63" s="20">
        <v>520368.32247299422</v>
      </c>
      <c r="AG63" s="20">
        <v>155816.02018342115</v>
      </c>
      <c r="AH63" s="20">
        <v>0</v>
      </c>
      <c r="AI63" s="20">
        <v>0</v>
      </c>
      <c r="AJ63" s="34">
        <f t="shared" si="8"/>
        <v>25558821.709029485</v>
      </c>
      <c r="AK63" s="17">
        <f t="shared" si="5"/>
        <v>29138789.659009513</v>
      </c>
      <c r="AL63" s="21">
        <v>0</v>
      </c>
    </row>
    <row r="64" spans="1:38" s="1" customFormat="1" ht="12.95">
      <c r="A64" s="1" t="s">
        <v>191</v>
      </c>
      <c r="B64" s="6" t="s">
        <v>196</v>
      </c>
      <c r="C64" s="6" t="str">
        <f t="shared" si="15"/>
        <v/>
      </c>
      <c r="D64" s="18">
        <f t="shared" si="16"/>
        <v>3.9055254713084503E-7</v>
      </c>
      <c r="E64" s="17">
        <f>L64-M64</f>
        <v>1.4779121312312782</v>
      </c>
      <c r="F64" s="1" t="s">
        <v>193</v>
      </c>
      <c r="G64" s="1" t="s">
        <v>194</v>
      </c>
      <c r="H64" s="1" t="s">
        <v>99</v>
      </c>
      <c r="I64" s="32" t="s">
        <v>197</v>
      </c>
      <c r="J64" s="33" t="s">
        <v>68</v>
      </c>
      <c r="K64" s="33" t="s">
        <v>68</v>
      </c>
      <c r="L64" s="17">
        <v>3784156.938902616</v>
      </c>
      <c r="M64" s="17">
        <f>SUM(S64,AK64)</f>
        <v>3784155.4609904848</v>
      </c>
      <c r="N64" s="21">
        <v>0</v>
      </c>
      <c r="O64" s="21">
        <v>275000</v>
      </c>
      <c r="P64" s="21">
        <v>0</v>
      </c>
      <c r="Q64" s="21">
        <v>0</v>
      </c>
      <c r="R64" s="21">
        <v>19600</v>
      </c>
      <c r="S64" s="17">
        <f t="shared" si="14"/>
        <v>294600</v>
      </c>
      <c r="T64" s="21">
        <v>18650.190063004491</v>
      </c>
      <c r="U64" s="21">
        <v>361447.53033384238</v>
      </c>
      <c r="V64" s="21">
        <v>48626.219623123296</v>
      </c>
      <c r="W64" s="21" t="s">
        <v>101</v>
      </c>
      <c r="X64" s="17">
        <f t="shared" si="11"/>
        <v>428723.94001997018</v>
      </c>
      <c r="Y64" s="20">
        <v>697931.1168240438</v>
      </c>
      <c r="Z64" s="20">
        <v>186971.79208816605</v>
      </c>
      <c r="AA64" s="20">
        <v>199289.16050666134</v>
      </c>
      <c r="AB64" s="20">
        <v>0</v>
      </c>
      <c r="AC64" s="20">
        <v>0</v>
      </c>
      <c r="AD64" s="20">
        <v>219084.83733185651</v>
      </c>
      <c r="AE64" s="20">
        <v>1676577.236876202</v>
      </c>
      <c r="AF64" s="20">
        <v>62317.417527005782</v>
      </c>
      <c r="AG64" s="20">
        <v>18659.959816578848</v>
      </c>
      <c r="AH64" s="20">
        <v>0</v>
      </c>
      <c r="AI64" s="20">
        <v>0</v>
      </c>
      <c r="AJ64" s="34">
        <f t="shared" si="8"/>
        <v>3060831.5209705145</v>
      </c>
      <c r="AK64" s="17">
        <f t="shared" si="5"/>
        <v>3489555.4609904848</v>
      </c>
      <c r="AL64" s="21">
        <v>0</v>
      </c>
    </row>
    <row r="65" spans="1:38" s="1" customFormat="1" ht="12.95">
      <c r="A65" s="1" t="s">
        <v>90</v>
      </c>
      <c r="B65" s="6" t="s">
        <v>198</v>
      </c>
      <c r="C65" s="6" t="str">
        <f t="shared" si="15"/>
        <v/>
      </c>
      <c r="D65" s="18">
        <f t="shared" si="16"/>
        <v>2.0134046948946359E-5</v>
      </c>
      <c r="E65" s="17">
        <f>L65-M65</f>
        <v>57.723272611387074</v>
      </c>
      <c r="F65" s="1" t="s">
        <v>73</v>
      </c>
      <c r="G65" s="1" t="s">
        <v>74</v>
      </c>
      <c r="H65" s="35" t="s">
        <v>89</v>
      </c>
      <c r="I65" s="32" t="s">
        <v>90</v>
      </c>
      <c r="J65" s="33" t="s">
        <v>68</v>
      </c>
      <c r="K65" s="33" t="s">
        <v>68</v>
      </c>
      <c r="L65" s="17">
        <v>2866948.3466366809</v>
      </c>
      <c r="M65" s="17">
        <f>SUM(S65,AK65)</f>
        <v>2866890.6233640695</v>
      </c>
      <c r="N65" s="21">
        <v>0</v>
      </c>
      <c r="O65" s="21">
        <v>0</v>
      </c>
      <c r="P65" s="21">
        <v>2466948</v>
      </c>
      <c r="Q65" s="21">
        <v>0</v>
      </c>
      <c r="R65" s="21">
        <v>0</v>
      </c>
      <c r="S65" s="17">
        <f t="shared" si="14"/>
        <v>2466948</v>
      </c>
      <c r="T65" s="21">
        <v>0</v>
      </c>
      <c r="U65" s="21">
        <v>0</v>
      </c>
      <c r="V65" s="21">
        <v>0</v>
      </c>
      <c r="W65" s="21"/>
      <c r="X65" s="17">
        <f t="shared" si="11"/>
        <v>0</v>
      </c>
      <c r="Y65" s="20">
        <v>0</v>
      </c>
      <c r="Z65" s="20">
        <v>301815.2255436987</v>
      </c>
      <c r="AA65" s="20">
        <v>0</v>
      </c>
      <c r="AB65" s="20">
        <v>0</v>
      </c>
      <c r="AC65" s="20">
        <v>0</v>
      </c>
      <c r="AD65" s="20">
        <v>0</v>
      </c>
      <c r="AE65" s="20">
        <v>0</v>
      </c>
      <c r="AF65" s="20">
        <v>0</v>
      </c>
      <c r="AG65" s="20">
        <v>98127.397820370854</v>
      </c>
      <c r="AH65" s="20">
        <v>0</v>
      </c>
      <c r="AI65" s="20">
        <v>0</v>
      </c>
      <c r="AJ65" s="34">
        <f t="shared" si="8"/>
        <v>399942.62336406956</v>
      </c>
      <c r="AK65" s="17">
        <f t="shared" si="5"/>
        <v>399942.62336406956</v>
      </c>
      <c r="AL65" s="21">
        <v>0</v>
      </c>
    </row>
    <row r="66" spans="1:38" s="1" customFormat="1" ht="12.95">
      <c r="A66" s="1" t="s">
        <v>90</v>
      </c>
      <c r="B66" s="6" t="s">
        <v>199</v>
      </c>
      <c r="C66" s="6" t="str">
        <f t="shared" si="15"/>
        <v/>
      </c>
      <c r="D66" s="18">
        <f t="shared" si="16"/>
        <v>1.4430805647217736E-4</v>
      </c>
      <c r="E66" s="17">
        <f>L66-M66</f>
        <v>177.58840282913297</v>
      </c>
      <c r="F66" s="1" t="s">
        <v>73</v>
      </c>
      <c r="G66" s="1" t="s">
        <v>74</v>
      </c>
      <c r="H66" s="35" t="s">
        <v>89</v>
      </c>
      <c r="I66" s="32" t="s">
        <v>90</v>
      </c>
      <c r="J66" s="33" t="s">
        <v>68</v>
      </c>
      <c r="K66" s="33" t="s">
        <v>68</v>
      </c>
      <c r="L66" s="17">
        <v>1230620.1550387596</v>
      </c>
      <c r="M66" s="17">
        <f>SUM(S66,AK66)</f>
        <v>1230442.5666359304</v>
      </c>
      <c r="N66" s="21">
        <v>0</v>
      </c>
      <c r="O66" s="21">
        <v>0</v>
      </c>
      <c r="P66" s="21">
        <v>0</v>
      </c>
      <c r="Q66" s="21">
        <v>0</v>
      </c>
      <c r="R66" s="21">
        <v>0</v>
      </c>
      <c r="S66" s="17">
        <f t="shared" si="14"/>
        <v>0</v>
      </c>
      <c r="T66" s="21">
        <v>0</v>
      </c>
      <c r="U66" s="21">
        <v>0</v>
      </c>
      <c r="V66" s="21">
        <v>0</v>
      </c>
      <c r="W66" s="21"/>
      <c r="X66" s="17">
        <f t="shared" si="11"/>
        <v>0</v>
      </c>
      <c r="Y66" s="20">
        <v>0</v>
      </c>
      <c r="Z66" s="20">
        <v>928548.94445630128</v>
      </c>
      <c r="AA66" s="20">
        <v>0</v>
      </c>
      <c r="AB66" s="20">
        <v>0</v>
      </c>
      <c r="AC66" s="20">
        <v>0</v>
      </c>
      <c r="AD66" s="20">
        <v>0</v>
      </c>
      <c r="AE66" s="20">
        <v>0</v>
      </c>
      <c r="AF66" s="20">
        <v>0</v>
      </c>
      <c r="AG66" s="20">
        <v>301893.62217962911</v>
      </c>
      <c r="AH66" s="20">
        <v>0</v>
      </c>
      <c r="AI66" s="20">
        <v>0</v>
      </c>
      <c r="AJ66" s="34">
        <f t="shared" si="8"/>
        <v>1230442.5666359304</v>
      </c>
      <c r="AK66" s="17">
        <f t="shared" si="5"/>
        <v>1230442.5666359304</v>
      </c>
      <c r="AL66" s="21">
        <v>0</v>
      </c>
    </row>
    <row r="67" spans="1:38" s="1" customFormat="1" ht="12.95">
      <c r="A67" s="1" t="s">
        <v>200</v>
      </c>
      <c r="B67" s="6" t="s">
        <v>201</v>
      </c>
      <c r="C67" s="6" t="str">
        <f t="shared" si="15"/>
        <v>Variance exceeds +/- 2%</v>
      </c>
      <c r="D67" s="18">
        <f t="shared" si="16"/>
        <v>0.38715593697009515</v>
      </c>
      <c r="E67" s="17">
        <f>L67-M67</f>
        <v>476441.89917831472</v>
      </c>
      <c r="F67" s="1" t="s">
        <v>141</v>
      </c>
      <c r="G67" s="1" t="s">
        <v>142</v>
      </c>
      <c r="I67" s="32"/>
      <c r="J67" s="33" t="s">
        <v>68</v>
      </c>
      <c r="K67" s="33" t="s">
        <v>68</v>
      </c>
      <c r="L67" s="17">
        <v>1230620.1550387596</v>
      </c>
      <c r="M67" s="17">
        <f>SUM(S67,AK67)</f>
        <v>754178.25586044486</v>
      </c>
      <c r="N67" s="21">
        <v>0</v>
      </c>
      <c r="O67" s="21">
        <v>0</v>
      </c>
      <c r="P67" s="21">
        <v>0</v>
      </c>
      <c r="Q67" s="21">
        <v>0</v>
      </c>
      <c r="R67" s="21">
        <v>0</v>
      </c>
      <c r="S67" s="17">
        <f t="shared" si="14"/>
        <v>0</v>
      </c>
      <c r="T67" s="21">
        <v>167254.68667433457</v>
      </c>
      <c r="U67" s="21">
        <v>24925.187775221824</v>
      </c>
      <c r="V67" s="21">
        <v>24925.187775221824</v>
      </c>
      <c r="W67" s="21" t="s">
        <v>111</v>
      </c>
      <c r="X67" s="17">
        <f t="shared" si="11"/>
        <v>217105.06222477823</v>
      </c>
      <c r="Y67" s="20">
        <v>332846.41971190716</v>
      </c>
      <c r="Z67" s="20">
        <v>4974.5290667104837</v>
      </c>
      <c r="AA67" s="20">
        <v>154427.31940519225</v>
      </c>
      <c r="AB67" s="20">
        <v>0</v>
      </c>
      <c r="AC67" s="20">
        <v>0</v>
      </c>
      <c r="AD67" s="20">
        <v>44824.925451856725</v>
      </c>
      <c r="AE67" s="20">
        <v>0</v>
      </c>
      <c r="AF67" s="20">
        <v>0</v>
      </c>
      <c r="AG67" s="20">
        <v>0</v>
      </c>
      <c r="AH67" s="20">
        <v>0</v>
      </c>
      <c r="AI67" s="20">
        <v>0</v>
      </c>
      <c r="AJ67" s="34">
        <f t="shared" ref="AJ67:AJ72" si="17">SUM(Y67:AI67)</f>
        <v>537073.19363566663</v>
      </c>
      <c r="AK67" s="17">
        <f t="shared" ref="AK67:AK72" si="18">SUM(X67,AJ67)</f>
        <v>754178.25586044486</v>
      </c>
      <c r="AL67" s="21">
        <v>0</v>
      </c>
    </row>
    <row r="68" spans="1:38" s="1" customFormat="1" ht="12.95">
      <c r="A68" s="1" t="s">
        <v>200</v>
      </c>
      <c r="B68" s="6" t="s">
        <v>202</v>
      </c>
      <c r="C68" s="6" t="str">
        <f t="shared" si="15"/>
        <v>Variance exceeds +/- 2%</v>
      </c>
      <c r="D68" s="18">
        <f t="shared" si="16"/>
        <v>0.38715593697009515</v>
      </c>
      <c r="E68" s="17">
        <f>L68-M68</f>
        <v>476441.89917831472</v>
      </c>
      <c r="F68" s="1" t="s">
        <v>141</v>
      </c>
      <c r="G68" s="1" t="s">
        <v>142</v>
      </c>
      <c r="I68" s="32"/>
      <c r="J68" s="33" t="s">
        <v>68</v>
      </c>
      <c r="K68" s="33" t="s">
        <v>68</v>
      </c>
      <c r="L68" s="17">
        <v>1230620.1550387596</v>
      </c>
      <c r="M68" s="17">
        <f>SUM(S68,AK68)</f>
        <v>754178.25586044486</v>
      </c>
      <c r="N68" s="21">
        <v>0</v>
      </c>
      <c r="O68" s="21">
        <v>0</v>
      </c>
      <c r="P68" s="21">
        <v>0</v>
      </c>
      <c r="Q68" s="21">
        <v>0</v>
      </c>
      <c r="R68" s="21">
        <v>0</v>
      </c>
      <c r="S68" s="17">
        <f t="shared" si="14"/>
        <v>0</v>
      </c>
      <c r="T68" s="21">
        <v>167254.68667433457</v>
      </c>
      <c r="U68" s="21">
        <v>24925.187775221824</v>
      </c>
      <c r="V68" s="21">
        <v>24925.187775221824</v>
      </c>
      <c r="W68" s="21" t="s">
        <v>111</v>
      </c>
      <c r="X68" s="17">
        <f t="shared" si="11"/>
        <v>217105.06222477823</v>
      </c>
      <c r="Y68" s="20">
        <v>332846.41971190716</v>
      </c>
      <c r="Z68" s="20">
        <v>4974.5290667104837</v>
      </c>
      <c r="AA68" s="20">
        <v>154427.31940519225</v>
      </c>
      <c r="AB68" s="20">
        <v>0</v>
      </c>
      <c r="AC68" s="20">
        <v>0</v>
      </c>
      <c r="AD68" s="20">
        <v>44824.925451856725</v>
      </c>
      <c r="AE68" s="20">
        <v>0</v>
      </c>
      <c r="AF68" s="20">
        <v>0</v>
      </c>
      <c r="AG68" s="20">
        <v>0</v>
      </c>
      <c r="AH68" s="20">
        <v>0</v>
      </c>
      <c r="AI68" s="20">
        <v>0</v>
      </c>
      <c r="AJ68" s="34">
        <f t="shared" si="17"/>
        <v>537073.19363566663</v>
      </c>
      <c r="AK68" s="17">
        <f t="shared" si="18"/>
        <v>754178.25586044486</v>
      </c>
      <c r="AL68" s="21">
        <v>0</v>
      </c>
    </row>
    <row r="69" spans="1:38" s="1" customFormat="1" ht="12.95">
      <c r="A69" s="1" t="s">
        <v>200</v>
      </c>
      <c r="B69" s="6" t="s">
        <v>203</v>
      </c>
      <c r="C69" s="6" t="str">
        <f t="shared" si="15"/>
        <v>Variance exceeds +/- 2%</v>
      </c>
      <c r="D69" s="18">
        <f t="shared" si="16"/>
        <v>0.38715593697009515</v>
      </c>
      <c r="E69" s="17">
        <f>L69-M69</f>
        <v>5420183.1175813321</v>
      </c>
      <c r="F69" s="1" t="s">
        <v>200</v>
      </c>
      <c r="G69" s="1" t="s">
        <v>204</v>
      </c>
      <c r="I69" s="32"/>
      <c r="J69" s="33" t="s">
        <v>68</v>
      </c>
      <c r="K69" s="33" t="s">
        <v>68</v>
      </c>
      <c r="L69" s="17">
        <v>14000000</v>
      </c>
      <c r="M69" s="17">
        <f>SUM(S69,AK69)</f>
        <v>8579816.8824186679</v>
      </c>
      <c r="N69" s="21">
        <v>0</v>
      </c>
      <c r="O69" s="21">
        <v>0</v>
      </c>
      <c r="P69" s="21">
        <v>0</v>
      </c>
      <c r="Q69" s="21">
        <v>0</v>
      </c>
      <c r="R69" s="21">
        <v>0</v>
      </c>
      <c r="S69" s="17">
        <f t="shared" si="14"/>
        <v>0</v>
      </c>
      <c r="T69" s="21">
        <v>1902752.5299769968</v>
      </c>
      <c r="U69" s="21">
        <v>283558.35667433456</v>
      </c>
      <c r="V69" s="21">
        <v>283558.35667433456</v>
      </c>
      <c r="W69" s="21" t="s">
        <v>111</v>
      </c>
      <c r="X69" s="17">
        <f t="shared" si="11"/>
        <v>2469869.2433256661</v>
      </c>
      <c r="Y69" s="20">
        <v>3786586.6708642794</v>
      </c>
      <c r="Z69" s="20">
        <v>56592.122799868557</v>
      </c>
      <c r="AA69" s="20">
        <v>1756823.5517844232</v>
      </c>
      <c r="AB69" s="20">
        <v>0</v>
      </c>
      <c r="AC69" s="20">
        <v>0</v>
      </c>
      <c r="AD69" s="20">
        <v>509945.29364442994</v>
      </c>
      <c r="AE69" s="20">
        <v>0</v>
      </c>
      <c r="AF69" s="20">
        <v>0</v>
      </c>
      <c r="AG69" s="20">
        <v>0</v>
      </c>
      <c r="AH69" s="20">
        <v>0</v>
      </c>
      <c r="AI69" s="20">
        <v>0</v>
      </c>
      <c r="AJ69" s="34">
        <f t="shared" si="17"/>
        <v>6109947.6390930014</v>
      </c>
      <c r="AK69" s="17">
        <f t="shared" si="18"/>
        <v>8579816.8824186679</v>
      </c>
      <c r="AL69" s="21">
        <v>0</v>
      </c>
    </row>
    <row r="70" spans="1:38" s="1" customFormat="1" ht="12.95">
      <c r="A70" s="1" t="s">
        <v>200</v>
      </c>
      <c r="B70" s="6" t="s">
        <v>205</v>
      </c>
      <c r="C70" s="6" t="str">
        <f t="shared" si="15"/>
        <v>Variance exceeds +/- 2%</v>
      </c>
      <c r="D70" s="18">
        <f t="shared" si="16"/>
        <v>0.38715593697009515</v>
      </c>
      <c r="E70" s="17">
        <f>L70-M70</f>
        <v>476441.89917831472</v>
      </c>
      <c r="F70" s="1" t="s">
        <v>200</v>
      </c>
      <c r="G70" s="1" t="s">
        <v>204</v>
      </c>
      <c r="I70" s="32"/>
      <c r="J70" s="33" t="s">
        <v>68</v>
      </c>
      <c r="K70" s="33" t="s">
        <v>68</v>
      </c>
      <c r="L70" s="17">
        <v>1230620.1550387596</v>
      </c>
      <c r="M70" s="17">
        <f>SUM(S70,AK70)</f>
        <v>754178.25586044486</v>
      </c>
      <c r="N70" s="21">
        <v>0</v>
      </c>
      <c r="O70" s="21">
        <v>0</v>
      </c>
      <c r="P70" s="21">
        <v>0</v>
      </c>
      <c r="Q70" s="21">
        <v>0</v>
      </c>
      <c r="R70" s="21">
        <v>0</v>
      </c>
      <c r="S70" s="17">
        <f t="shared" si="14"/>
        <v>0</v>
      </c>
      <c r="T70" s="21">
        <v>167254.68667433457</v>
      </c>
      <c r="U70" s="21">
        <v>24925.187775221824</v>
      </c>
      <c r="V70" s="21">
        <v>24925.187775221824</v>
      </c>
      <c r="W70" s="21" t="s">
        <v>111</v>
      </c>
      <c r="X70" s="17">
        <f t="shared" si="11"/>
        <v>217105.06222477823</v>
      </c>
      <c r="Y70" s="20">
        <v>332846.41971190716</v>
      </c>
      <c r="Z70" s="20">
        <v>4974.5290667104837</v>
      </c>
      <c r="AA70" s="20">
        <v>154427.31940519225</v>
      </c>
      <c r="AB70" s="20">
        <v>0</v>
      </c>
      <c r="AC70" s="20">
        <v>0</v>
      </c>
      <c r="AD70" s="20">
        <v>44824.925451856725</v>
      </c>
      <c r="AE70" s="20">
        <v>0</v>
      </c>
      <c r="AF70" s="20">
        <v>0</v>
      </c>
      <c r="AG70" s="20">
        <v>0</v>
      </c>
      <c r="AH70" s="20">
        <v>0</v>
      </c>
      <c r="AI70" s="20">
        <v>0</v>
      </c>
      <c r="AJ70" s="34">
        <f t="shared" si="17"/>
        <v>537073.19363566663</v>
      </c>
      <c r="AK70" s="17">
        <f t="shared" si="18"/>
        <v>754178.25586044486</v>
      </c>
      <c r="AL70" s="21">
        <v>0</v>
      </c>
    </row>
    <row r="71" spans="1:38" s="1" customFormat="1" ht="12.95">
      <c r="A71" s="1" t="s">
        <v>200</v>
      </c>
      <c r="B71" s="1" t="s">
        <v>206</v>
      </c>
      <c r="C71" s="19" t="s">
        <v>148</v>
      </c>
      <c r="D71" s="18"/>
      <c r="E71" s="17">
        <f>L71-M71</f>
        <v>-6849479.6999999983</v>
      </c>
      <c r="F71" s="1" t="s">
        <v>200</v>
      </c>
      <c r="G71" s="1" t="s">
        <v>142</v>
      </c>
      <c r="I71" s="32"/>
      <c r="J71" s="33" t="s">
        <v>68</v>
      </c>
      <c r="K71" s="33" t="s">
        <v>68</v>
      </c>
      <c r="L71" s="17">
        <v>0</v>
      </c>
      <c r="M71" s="17">
        <f>AL71</f>
        <v>6849479.6999999983</v>
      </c>
      <c r="N71" s="21">
        <v>0</v>
      </c>
      <c r="O71" s="21">
        <v>0</v>
      </c>
      <c r="P71" s="21">
        <v>0</v>
      </c>
      <c r="Q71" s="21">
        <v>0</v>
      </c>
      <c r="R71" s="21">
        <v>0</v>
      </c>
      <c r="S71" s="17">
        <f t="shared" si="14"/>
        <v>0</v>
      </c>
      <c r="T71" s="21">
        <v>0</v>
      </c>
      <c r="U71" s="21">
        <v>0</v>
      </c>
      <c r="V71" s="21">
        <v>0</v>
      </c>
      <c r="W71" s="21"/>
      <c r="X71" s="17">
        <f t="shared" si="11"/>
        <v>0</v>
      </c>
      <c r="Y71" s="20">
        <v>0</v>
      </c>
      <c r="Z71" s="20">
        <v>0</v>
      </c>
      <c r="AA71" s="20">
        <v>0</v>
      </c>
      <c r="AB71" s="20">
        <v>0</v>
      </c>
      <c r="AC71" s="20">
        <v>0</v>
      </c>
      <c r="AD71" s="20">
        <v>0</v>
      </c>
      <c r="AE71" s="20">
        <v>0</v>
      </c>
      <c r="AF71" s="20">
        <v>0</v>
      </c>
      <c r="AG71" s="20">
        <v>0</v>
      </c>
      <c r="AH71" s="20">
        <v>0</v>
      </c>
      <c r="AI71" s="20">
        <v>0</v>
      </c>
      <c r="AJ71" s="34">
        <f t="shared" si="17"/>
        <v>0</v>
      </c>
      <c r="AK71" s="17">
        <f t="shared" si="18"/>
        <v>0</v>
      </c>
      <c r="AL71" s="21">
        <v>6849479.6999999983</v>
      </c>
    </row>
    <row r="72" spans="1:38" s="1" customFormat="1" ht="12.95">
      <c r="A72" s="1" t="s">
        <v>207</v>
      </c>
      <c r="B72" s="6" t="s">
        <v>207</v>
      </c>
      <c r="C72" s="6" t="str">
        <f>IF(D72&gt;0.02, "Variance exceeds +/- 2%", IF(D72&lt;-0.02,"Variance exceeds +/- 2%", ""))</f>
        <v/>
      </c>
      <c r="D72" s="18">
        <f>E72/L72</f>
        <v>-2.7757834743809056E-10</v>
      </c>
      <c r="E72" s="17">
        <f>L72-M72</f>
        <v>-6.4189992845058441E-3</v>
      </c>
      <c r="F72" s="1" t="s">
        <v>207</v>
      </c>
      <c r="G72" s="1" t="s">
        <v>74</v>
      </c>
      <c r="H72" s="1" t="s">
        <v>89</v>
      </c>
      <c r="I72" s="32"/>
      <c r="J72" s="33" t="s">
        <v>68</v>
      </c>
      <c r="K72" s="33" t="s">
        <v>68</v>
      </c>
      <c r="L72" s="17">
        <v>23125000</v>
      </c>
      <c r="M72" s="17">
        <f>SUM(S72,AK72)</f>
        <v>23125000.006418999</v>
      </c>
      <c r="N72" s="21">
        <v>0</v>
      </c>
      <c r="O72" s="21">
        <v>4830616</v>
      </c>
      <c r="P72" s="21">
        <v>2750000</v>
      </c>
      <c r="Q72" s="21">
        <v>0</v>
      </c>
      <c r="R72" s="21">
        <v>86400</v>
      </c>
      <c r="S72" s="17">
        <f t="shared" si="14"/>
        <v>7667016</v>
      </c>
      <c r="T72" s="21">
        <v>21971.25</v>
      </c>
      <c r="U72" s="21">
        <v>1278333</v>
      </c>
      <c r="V72" s="21">
        <v>77289.906518999982</v>
      </c>
      <c r="W72" s="21" t="s">
        <v>208</v>
      </c>
      <c r="X72" s="17">
        <f t="shared" si="11"/>
        <v>1377594.156519</v>
      </c>
      <c r="Y72" s="20">
        <v>2727975.5999999996</v>
      </c>
      <c r="Z72" s="20">
        <v>282192.74999999994</v>
      </c>
      <c r="AA72" s="20">
        <v>4956036.7499999991</v>
      </c>
      <c r="AB72" s="20">
        <v>0</v>
      </c>
      <c r="AC72" s="20">
        <v>0</v>
      </c>
      <c r="AD72" s="20">
        <v>262536.75</v>
      </c>
      <c r="AE72" s="20">
        <v>562275.00000000023</v>
      </c>
      <c r="AF72" s="20">
        <v>1676965.5</v>
      </c>
      <c r="AG72" s="20">
        <v>3612407.4998999992</v>
      </c>
      <c r="AH72" s="20">
        <v>0</v>
      </c>
      <c r="AI72" s="20">
        <v>0</v>
      </c>
      <c r="AJ72" s="34">
        <f t="shared" si="17"/>
        <v>14080389.8499</v>
      </c>
      <c r="AK72" s="17">
        <f t="shared" si="18"/>
        <v>15457984.006418999</v>
      </c>
      <c r="AL72" s="21">
        <v>0</v>
      </c>
    </row>
    <row r="73" spans="1:38">
      <c r="K73" s="33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</row>
    <row r="74" spans="1:38"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</row>
    <row r="75" spans="1:38">
      <c r="L75" s="15">
        <f>SUBTOTAL(9,L3:L72)</f>
        <v>538929686.1559608</v>
      </c>
      <c r="M75" s="15">
        <f t="shared" ref="M75:AI75" si="19">SUBTOTAL(9,M3:M72)</f>
        <v>538896260.35651147</v>
      </c>
      <c r="N75" s="15">
        <f t="shared" si="19"/>
        <v>16398081</v>
      </c>
      <c r="O75" s="15">
        <f t="shared" si="19"/>
        <v>14757741</v>
      </c>
      <c r="P75" s="15">
        <f t="shared" si="19"/>
        <v>33965424</v>
      </c>
      <c r="Q75" s="15">
        <f t="shared" si="19"/>
        <v>0</v>
      </c>
      <c r="R75" s="15">
        <f t="shared" si="19"/>
        <v>819999.99999999977</v>
      </c>
      <c r="S75" s="15">
        <f t="shared" si="19"/>
        <v>77317246</v>
      </c>
      <c r="T75" s="15">
        <f t="shared" si="19"/>
        <v>68096082.599999994</v>
      </c>
      <c r="U75" s="15">
        <f t="shared" si="19"/>
        <v>21708954.539999999</v>
      </c>
      <c r="V75" s="15">
        <f t="shared" si="19"/>
        <v>10634984.046519004</v>
      </c>
      <c r="W75" s="15"/>
      <c r="X75" s="15">
        <f t="shared" si="19"/>
        <v>100440021.186519</v>
      </c>
      <c r="Y75" s="15">
        <f t="shared" si="19"/>
        <v>75712974.73999998</v>
      </c>
      <c r="Z75" s="15">
        <f t="shared" si="19"/>
        <v>51108118.110000022</v>
      </c>
      <c r="AA75" s="15">
        <f t="shared" si="19"/>
        <v>49655474.189999983</v>
      </c>
      <c r="AB75" s="15">
        <f t="shared" si="19"/>
        <v>47496226.050000004</v>
      </c>
      <c r="AC75" s="15">
        <f t="shared" si="19"/>
        <v>40876594.559999995</v>
      </c>
      <c r="AD75" s="15">
        <f t="shared" si="19"/>
        <v>13112137.080000002</v>
      </c>
      <c r="AE75" s="15">
        <f t="shared" si="19"/>
        <v>18971639.189999998</v>
      </c>
      <c r="AF75" s="15">
        <f t="shared" si="19"/>
        <v>11482257.150000002</v>
      </c>
      <c r="AG75" s="15">
        <f t="shared" si="19"/>
        <v>27579277.819992412</v>
      </c>
      <c r="AH75" s="15">
        <f t="shared" si="19"/>
        <v>7197513.75</v>
      </c>
      <c r="AI75" s="15">
        <f t="shared" si="19"/>
        <v>8748804.3300000038</v>
      </c>
      <c r="AJ75" s="15">
        <f>SUBTOTAL(9,AJ3:AJ72)</f>
        <v>351941016.96999234</v>
      </c>
      <c r="AK75" s="15">
        <f>SUBTOTAL(9,AK3:AK72)</f>
        <v>452381038.15651143</v>
      </c>
      <c r="AL75" s="15">
        <f>SUBTOTAL(9,AL3:AL72)</f>
        <v>9197976.1999999993</v>
      </c>
    </row>
    <row r="76" spans="1:38"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L76" s="7"/>
    </row>
    <row r="77" spans="1:38">
      <c r="L77" s="9"/>
    </row>
    <row r="78" spans="1:38">
      <c r="L78" s="9"/>
      <c r="M78" s="5"/>
    </row>
    <row r="79" spans="1:38">
      <c r="L79" s="9"/>
    </row>
    <row r="80" spans="1:38">
      <c r="L80" s="5"/>
    </row>
    <row r="81" spans="12:13">
      <c r="M81" s="10"/>
    </row>
    <row r="82" spans="12:13">
      <c r="M82" s="11"/>
    </row>
    <row r="84" spans="12:13">
      <c r="L84" s="9"/>
    </row>
    <row r="86" spans="12:13">
      <c r="L86" s="5"/>
    </row>
  </sheetData>
  <autoFilter ref="A2:AL72" xr:uid="{C4CC3FD2-B189-4A37-B795-E9CFF73AC518}">
    <sortState xmlns:xlrd2="http://schemas.microsoft.com/office/spreadsheetml/2017/richdata2" ref="A3:AL72">
      <sortCondition ref="A3:A72"/>
      <sortCondition ref="H3:H72"/>
    </sortState>
  </autoFilter>
  <mergeCells count="1">
    <mergeCell ref="L1:M1"/>
  </mergeCells>
  <conditionalFormatting sqref="C1:C1048576">
    <cfRule type="cellIs" dxfId="3" priority="4" operator="equal">
      <formula>"Variance exceeds +/- 2%"</formula>
    </cfRule>
  </conditionalFormatting>
  <conditionalFormatting sqref="B6:B11">
    <cfRule type="cellIs" dxfId="2" priority="3" operator="lessThan">
      <formula>0</formula>
    </cfRule>
  </conditionalFormatting>
  <conditionalFormatting sqref="B31:B33">
    <cfRule type="cellIs" dxfId="1" priority="2" operator="lessThan">
      <formula>0</formula>
    </cfRule>
  </conditionalFormatting>
  <conditionalFormatting sqref="E3:E72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6CC6F845AA06D47BB70E2527FF31DF3" ma:contentTypeVersion="4" ma:contentTypeDescription="Create a new document." ma:contentTypeScope="" ma:versionID="2bda0933d5c827cc0dfebf1af4dd96c8">
  <xsd:schema xmlns:xsd="http://www.w3.org/2001/XMLSchema" xmlns:xs="http://www.w3.org/2001/XMLSchema" xmlns:p="http://schemas.microsoft.com/office/2006/metadata/properties" xmlns:ns2="7e97abb1-80a9-4bfd-bdf6-de31302744af" xmlns:ns3="80e3505a-6c5f-437f-bdf3-6af2a59cba0b" targetNamespace="http://schemas.microsoft.com/office/2006/metadata/properties" ma:root="true" ma:fieldsID="60eed2a80f8ce63a1eebf70c8e37679f" ns2:_="" ns3:_="">
    <xsd:import namespace="7e97abb1-80a9-4bfd-bdf6-de31302744af"/>
    <xsd:import namespace="80e3505a-6c5f-437f-bdf3-6af2a59cba0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97abb1-80a9-4bfd-bdf6-de31302744a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e3505a-6c5f-437f-bdf3-6af2a59cba0b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1073824-A313-469A-8985-601D896F6F45}"/>
</file>

<file path=customXml/itemProps2.xml><?xml version="1.0" encoding="utf-8"?>
<ds:datastoreItem xmlns:ds="http://schemas.openxmlformats.org/officeDocument/2006/customXml" ds:itemID="{F4A1E578-497E-4F9D-8AE3-350792D4DBC6}"/>
</file>

<file path=customXml/itemProps3.xml><?xml version="1.0" encoding="utf-8"?>
<ds:datastoreItem xmlns:ds="http://schemas.openxmlformats.org/officeDocument/2006/customXml" ds:itemID="{C3534D8D-F0DF-467E-A2D0-81C2356FA1F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Megan Heline</dc:creator>
  <cp:keywords/>
  <dc:description/>
  <cp:lastModifiedBy>Baba, Eric E</cp:lastModifiedBy>
  <cp:revision/>
  <dcterms:created xsi:type="dcterms:W3CDTF">2020-09-22T17:57:33Z</dcterms:created>
  <dcterms:modified xsi:type="dcterms:W3CDTF">2021-11-01T18:46:26Z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0x01010006CC6F845AA06D47BB70E2527FF31DF3</vt:lpwstr>
  </property>
  <property fmtid="{D5CDD505-2E9C-101B-9397-08002B2CF9AE}" pid="3" name="MSIP_Label_67599526-06ca-49cc-9fa9-5307800a949a_Enabled">
    <vt:lpwstr>true</vt:lpwstr>
  </property>
  <property fmtid="{D5CDD505-2E9C-101B-9397-08002B2CF9AE}" pid="4" name="MSIP_Label_67599526-06ca-49cc-9fa9-5307800a949a_SetDate">
    <vt:lpwstr>2021-10-06T23:03:32Z</vt:lpwstr>
  </property>
  <property fmtid="{D5CDD505-2E9C-101B-9397-08002B2CF9AE}" pid="5" name="MSIP_Label_67599526-06ca-49cc-9fa9-5307800a949a_Method">
    <vt:lpwstr>Standard</vt:lpwstr>
  </property>
  <property fmtid="{D5CDD505-2E9C-101B-9397-08002B2CF9AE}" pid="6" name="MSIP_Label_67599526-06ca-49cc-9fa9-5307800a949a_Name">
    <vt:lpwstr>67599526-06ca-49cc-9fa9-5307800a949a</vt:lpwstr>
  </property>
  <property fmtid="{D5CDD505-2E9C-101B-9397-08002B2CF9AE}" pid="7" name="MSIP_Label_67599526-06ca-49cc-9fa9-5307800a949a_SiteId">
    <vt:lpwstr>fabb61b8-3afe-4e75-b934-a47f782b8cd7</vt:lpwstr>
  </property>
  <property fmtid="{D5CDD505-2E9C-101B-9397-08002B2CF9AE}" pid="8" name="MSIP_Label_67599526-06ca-49cc-9fa9-5307800a949a_ActionId">
    <vt:lpwstr>ef47f813-e0a5-457b-a532-d889cbfab9f2</vt:lpwstr>
  </property>
  <property fmtid="{D5CDD505-2E9C-101B-9397-08002B2CF9AE}" pid="9" name="MSIP_Label_67599526-06ca-49cc-9fa9-5307800a949a_ContentBits">
    <vt:lpwstr>0</vt:lpwstr>
  </property>
</Properties>
</file>